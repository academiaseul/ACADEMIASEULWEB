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  <sheet name="Tabler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<sst xmlns="http://schemas.openxmlformats.org/spreadsheetml/2006/main" count="46" uniqueCount="43">
  <si>
    <t xml:space="preserve">#</t>
  </si>
  <si>
    <t xml:space="preserve">Fecha inscripción</t>
  </si>
  <si>
    <t xml:space="preserve">Nombre</t>
  </si>
  <si>
    <t xml:space="preserve">WhatsApp / Tel</t>
  </si>
  <si>
    <t xml:space="preserve">Email</t>
  </si>
  <si>
    <t xml:space="preserve">Edad</t>
  </si>
  <si>
    <t xml:space="preserve">RUT</t>
  </si>
  <si>
    <t xml:space="preserve">¿Cómo conoció?</t>
  </si>
  <si>
    <t xml:space="preserve">Cohorte</t>
  </si>
  <si>
    <t xml:space="preserve">Estado</t>
  </si>
  <si>
    <t xml:space="preserve">Método de pago</t>
  </si>
  <si>
    <t xml:space="preserve">Cupo #</t>
  </si>
  <si>
    <t xml:space="preserve">Fecha pago</t>
  </si>
  <si>
    <t xml:space="preserve">Notas</t>
  </si>
  <si>
    <t xml:space="preserve">📊 Tablero — Inscripciones Nivel 1</t>
  </si>
  <si>
    <t xml:space="preserve">Se actualiza solo a medida que llenas el Pipeline.</t>
  </si>
  <si>
    <t xml:space="preserve">EMBUDO</t>
  </si>
  <si>
    <t xml:space="preserve">CUPOS POR COHORTE (máx. 15)</t>
  </si>
  <si>
    <t xml:space="preserve">Inscritos</t>
  </si>
  <si>
    <t xml:space="preserve">Confirmados</t>
  </si>
  <si>
    <t xml:space="preserve">Quedan</t>
  </si>
  <si>
    <t xml:space="preserve">Pagaron</t>
  </si>
  <si>
    <t xml:space="preserve">Martes 🇨🇱</t>
  </si>
  <si>
    <t xml:space="preserve">Confirmados (pagados)</t>
  </si>
  <si>
    <t xml:space="preserve">Jueves 🇨🇱</t>
  </si>
  <si>
    <t xml:space="preserve">Onboarded</t>
  </si>
  <si>
    <t xml:space="preserve">Sábado 🇪🇸</t>
  </si>
  <si>
    <t xml:space="preserve">Cancelados</t>
  </si>
  <si>
    <t xml:space="preserve">INGRESOS (estimado)</t>
  </si>
  <si>
    <t xml:space="preserve">% conversión inscrito→pagó</t>
  </si>
  <si>
    <t xml:space="preserve">Pagados × $89 USD</t>
  </si>
  <si>
    <t xml:space="preserve">Meta (45 cupos)</t>
  </si>
  <si>
    <t xml:space="preserve">% de la meta</t>
  </si>
  <si>
    <t xml:space="preserve">¿DE DÓNDE VIENEN? (canal)</t>
  </si>
  <si>
    <t xml:space="preserve">Canal</t>
  </si>
  <si>
    <t xml:space="preserve">Instagram</t>
  </si>
  <si>
    <t xml:space="preserve">TikTok</t>
  </si>
  <si>
    <t xml:space="preserve">YouTube</t>
  </si>
  <si>
    <t xml:space="preserve">Facebook</t>
  </si>
  <si>
    <t xml:space="preserve">Taller gratuito</t>
  </si>
  <si>
    <t xml:space="preserve">Recomendación</t>
  </si>
  <si>
    <t xml:space="preserve">Google</t>
  </si>
  <si>
    <t xml:space="preserve">Otro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</si>
</sst>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&quot; USD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3D2EE8"/>
      <name val="Arial"/>
      <family val="0"/>
      <charset val="1"/>
    </font>
    <font>
      <i val="true"/>
      <sz val="10"/>
      <color rgb="FF6B6B7C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3D2EE8"/>
      <name val="Arial"/>
      <family val="0"/>
      <charset val="1"/>
    </font>
    <font>
      <sz val="11"/>
      <color rgb="FF3D2EE8"/>
      <name val="Arial"/>
      <family val="0"/>
      <charset val="1"/>
    </font>
    <font>
      <b val="true"/>
      <sz val="11"/>
      <color rgb="FF2BB673"/>
      <name val="Arial"/>
      <family val="0"/>
      <charset val="1"/>
    </font>
    <font>
      <sz val="11"/>
      <color rgb="FF6B6B7C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3D2EE8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AEC"/>
      </left>
      <right style="thin">
        <color rgb="FFDCDAEC"/>
      </right>
      <top style="thin">
        <color rgb="FFDCDAEC"/>
      </top>
      <bottom style="thin">
        <color rgb="FFDCDA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color rgb="FF7A5C00"/>
        <sz val="10"/>
      </font>
      <fill>
        <patternFill>
          <bgColor rgb="FFFFF3CD"/>
        </patternFill>
      </fill>
    </dxf>
    <dxf>
      <font>
        <name val="Arial"/>
        <charset val="1"/>
        <family val="0"/>
        <color rgb="FF0B3D6B"/>
        <sz val="10"/>
      </font>
      <fill>
        <patternFill>
          <bgColor rgb="FFCFE8FF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2BB673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1E7D4B"/>
        </patternFill>
      </fill>
    </dxf>
    <dxf>
      <font>
        <name val="Arial"/>
        <charset val="1"/>
        <family val="0"/>
        <color rgb="FFC8001E"/>
        <sz val="10"/>
      </font>
      <fill>
        <patternFill>
          <bgColor rgb="FFF8D7DA"/>
        </patternFill>
      </fill>
    </dxf>
    <dxf>
      <font>
        <b val="1"/>
        <color rgb="FFC8001E"/>
      </font>
      <fill>
        <patternFill>
          <bgColor rgb="FFF8D7DA"/>
        </patternFill>
      </fill>
    </dxf>
    <dxf>
      <font>
        <b val="1"/>
        <color rgb="FF7A5C00"/>
      </font>
      <fill>
        <patternFill>
          <bgColor rgb="FFFFF3CD"/>
        </patternFill>
      </fill>
    </dxf>
    <dxf>
      <font>
        <b val="1"/>
        <color rgb="FF0B6B3A"/>
      </font>
      <fill>
        <patternFill>
          <bgColor rgb="FFD6F5E3"/>
        </patternFill>
      </fill>
    </dxf>
  </dxfs>
  <colors>
    <indexedColors>
      <rgbColor rgb="FF000000"/>
      <rgbColor rgb="FFFFFFFF"/>
      <rgbColor rgb="FFC8001E"/>
      <rgbColor rgb="FF00FF00"/>
      <rgbColor rgb="FF0000FF"/>
      <rgbColor rgb="FFFFFF00"/>
      <rgbColor rgb="FFFF00FF"/>
      <rgbColor rgb="FF00FFFF"/>
      <rgbColor rgb="FF800000"/>
      <rgbColor rgb="FF0B6B3A"/>
      <rgbColor rgb="FF000080"/>
      <rgbColor rgb="FF7A5C00"/>
      <rgbColor rgb="FF800080"/>
      <rgbColor rgb="FF1E7D4B"/>
      <rgbColor rgb="FFC0C0C0"/>
      <rgbColor rgb="FF808080"/>
      <rgbColor rgb="FF9999FF"/>
      <rgbColor rgb="FF993366"/>
      <rgbColor rgb="FFFFF3CD"/>
      <rgbColor rgb="FFCFE8FF"/>
      <rgbColor rgb="FF660066"/>
      <rgbColor rgb="FFFF8080"/>
      <rgbColor rgb="FF0066CC"/>
      <rgbColor rgb="FFDCDA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5E3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B6B7C"/>
      <rgbColor rgb="FF969696"/>
      <rgbColor rgb="FF0B3D6B"/>
      <rgbColor rgb="FF2BB673"/>
      <rgbColor rgb="FF003300"/>
      <rgbColor rgb="FF333300"/>
      <rgbColor rgb="FF993300"/>
      <rgbColor rgb="FF993366"/>
      <rgbColor rgb="FF3D2EE8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6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7"/>
    <col collapsed="false" customWidth="true" hidden="false" outlineLevel="0" max="13" min="13" style="0" width="14"/>
    <col collapsed="false" customWidth="true" hidden="false" outlineLevel="0" max="14" min="14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tr">
        <f aca="false">IF(C2="","",ROW()-1)</f>
        <v/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A3" s="2" t="str">
        <f aca="false">IF(C3="","",ROW()-1)</f>
        <v/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2" t="str">
        <f aca="false">IF(C4="","",ROW()-1)</f>
        <v/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2" t="str">
        <f aca="false">IF(C5="","",ROW()-1)</f>
        <v/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5" hidden="false" customHeight="false" outlineLevel="0" collapsed="false">
      <c r="A6" s="2" t="str">
        <f aca="false">IF(C6="","",ROW()-1)</f>
        <v/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15" hidden="false" customHeight="false" outlineLevel="0" collapsed="false">
      <c r="A7" s="2" t="str">
        <f aca="false">IF(C7="","",ROW()-1)</f>
        <v/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A8" s="2" t="str">
        <f aca="false">IF(C8="","",ROW()-1)</f>
        <v/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customFormat="false" ht="15" hidden="false" customHeight="false" outlineLevel="0" collapsed="false">
      <c r="A9" s="2" t="str">
        <f aca="false">IF(C9="","",ROW()-1)</f>
        <v/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customFormat="false" ht="15" hidden="false" customHeight="false" outlineLevel="0" collapsed="false">
      <c r="A10" s="2" t="str">
        <f aca="false">IF(C10="","",ROW()-1)</f>
        <v/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customFormat="false" ht="15" hidden="false" customHeight="false" outlineLevel="0" collapsed="false">
      <c r="A11" s="2" t="str">
        <f aca="false">IF(C11="","",ROW()-1)</f>
        <v/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A12" s="2" t="str">
        <f aca="false">IF(C12="","",ROW()-1)</f>
        <v/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A13" s="2" t="str">
        <f aca="false">IF(C13="","",ROW()-1)</f>
        <v/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5" hidden="false" customHeight="false" outlineLevel="0" collapsed="false">
      <c r="A14" s="2" t="str">
        <f aca="false">IF(C14="","",ROW()-1)</f>
        <v/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A15" s="2" t="str">
        <f aca="false">IF(C15="","",ROW()-1)</f>
        <v/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A16" s="2" t="str">
        <f aca="false">IF(C16="","",ROW()-1)</f>
        <v/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Format="false" ht="15" hidden="false" customHeight="false" outlineLevel="0" collapsed="false">
      <c r="A17" s="2" t="str">
        <f aca="false">IF(C17="","",ROW()-1)</f>
        <v/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5" hidden="false" customHeight="false" outlineLevel="0" collapsed="false">
      <c r="A18" s="2" t="str">
        <f aca="false">IF(C18="","",ROW()-1)</f>
        <v/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A19" s="2" t="str">
        <f aca="false">IF(C19="","",ROW()-1)</f>
        <v/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15" hidden="false" customHeight="false" outlineLevel="0" collapsed="false">
      <c r="A20" s="2" t="str">
        <f aca="false">IF(C20="","",ROW()-1)</f>
        <v/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customFormat="false" ht="15" hidden="false" customHeight="false" outlineLevel="0" collapsed="false">
      <c r="A21" s="2" t="str">
        <f aca="false">IF(C21="","",ROW()-1)</f>
        <v/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customFormat="false" ht="15" hidden="false" customHeight="false" outlineLevel="0" collapsed="false">
      <c r="A22" s="2" t="str">
        <f aca="false">IF(C22="","",ROW()-1)</f>
        <v/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customFormat="false" ht="15" hidden="false" customHeight="false" outlineLevel="0" collapsed="false">
      <c r="A23" s="2" t="str">
        <f aca="false">IF(C23="","",ROW()-1)</f>
        <v/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15" hidden="false" customHeight="false" outlineLevel="0" collapsed="false">
      <c r="A24" s="2" t="str">
        <f aca="false">IF(C24="","",ROW()-1)</f>
        <v/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Format="false" ht="15" hidden="false" customHeight="false" outlineLevel="0" collapsed="false">
      <c r="A25" s="2" t="str">
        <f aca="false">IF(C25="","",ROW()-1)</f>
        <v/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Format="false" ht="15" hidden="false" customHeight="false" outlineLevel="0" collapsed="false">
      <c r="A26" s="2" t="str">
        <f aca="false">IF(C26="","",ROW()-1)</f>
        <v/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customFormat="false" ht="15" hidden="false" customHeight="false" outlineLevel="0" collapsed="false">
      <c r="A27" s="2" t="str">
        <f aca="false">IF(C27="","",ROW()-1)</f>
        <v/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A28" s="2" t="str">
        <f aca="false">IF(C28="","",ROW()-1)</f>
        <v/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customFormat="false" ht="15" hidden="false" customHeight="false" outlineLevel="0" collapsed="false">
      <c r="A29" s="2" t="str">
        <f aca="false">IF(C29="","",ROW()-1)</f>
        <v/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customFormat="false" ht="15" hidden="false" customHeight="false" outlineLevel="0" collapsed="false">
      <c r="A30" s="2" t="str">
        <f aca="false">IF(C30="","",ROW()-1)</f>
        <v/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customFormat="false" ht="15" hidden="false" customHeight="false" outlineLevel="0" collapsed="false">
      <c r="A31" s="2" t="str">
        <f aca="false">IF(C31="","",ROW()-1)</f>
        <v/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customFormat="false" ht="15" hidden="false" customHeight="false" outlineLevel="0" collapsed="false">
      <c r="A32" s="2" t="str">
        <f aca="false">IF(C32="","",ROW()-1)</f>
        <v/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customFormat="false" ht="15" hidden="false" customHeight="false" outlineLevel="0" collapsed="false">
      <c r="A33" s="2" t="str">
        <f aca="false">IF(C33="","",ROW()-1)</f>
        <v/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customFormat="false" ht="15" hidden="false" customHeight="false" outlineLevel="0" collapsed="false">
      <c r="A34" s="2" t="str">
        <f aca="false">IF(C34="","",ROW()-1)</f>
        <v/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customFormat="false" ht="15" hidden="false" customHeight="false" outlineLevel="0" collapsed="false">
      <c r="A35" s="2" t="str">
        <f aca="false">IF(C35="","",ROW()-1)</f>
        <v/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customFormat="false" ht="15" hidden="false" customHeight="false" outlineLevel="0" collapsed="false">
      <c r="A36" s="2" t="str">
        <f aca="false">IF(C36="","",ROW()-1)</f>
        <v/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customFormat="false" ht="15" hidden="false" customHeight="false" outlineLevel="0" collapsed="false">
      <c r="A37" s="2" t="str">
        <f aca="false">IF(C37="","",ROW()-1)</f>
        <v/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customFormat="false" ht="15" hidden="false" customHeight="false" outlineLevel="0" collapsed="false">
      <c r="A38" s="2" t="str">
        <f aca="false">IF(C38="","",ROW()-1)</f>
        <v/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customFormat="false" ht="15" hidden="false" customHeight="false" outlineLevel="0" collapsed="false">
      <c r="A39" s="2" t="str">
        <f aca="false">IF(C39="","",ROW()-1)</f>
        <v/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customFormat="false" ht="15" hidden="false" customHeight="false" outlineLevel="0" collapsed="false">
      <c r="A40" s="2" t="str">
        <f aca="false">IF(C40="","",ROW()-1)</f>
        <v/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customFormat="false" ht="15" hidden="false" customHeight="false" outlineLevel="0" collapsed="false">
      <c r="A41" s="2" t="str">
        <f aca="false">IF(C41="","",ROW()-1)</f>
        <v/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customFormat="false" ht="15" hidden="false" customHeight="false" outlineLevel="0" collapsed="false">
      <c r="A42" s="2" t="str">
        <f aca="false">IF(C42="","",ROW()-1)</f>
        <v/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customFormat="false" ht="15" hidden="false" customHeight="false" outlineLevel="0" collapsed="false">
      <c r="A43" s="2" t="str">
        <f aca="false">IF(C43="","",ROW()-1)</f>
        <v/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customFormat="false" ht="15" hidden="false" customHeight="false" outlineLevel="0" collapsed="false">
      <c r="A44" s="2" t="str">
        <f aca="false">IF(C44="","",ROW()-1)</f>
        <v/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customFormat="false" ht="15" hidden="false" customHeight="false" outlineLevel="0" collapsed="false">
      <c r="A45" s="2" t="str">
        <f aca="false">IF(C45="","",ROW()-1)</f>
        <v/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customFormat="false" ht="15" hidden="false" customHeight="false" outlineLevel="0" collapsed="false">
      <c r="A46" s="2" t="str">
        <f aca="false">IF(C46="","",ROW()-1)</f>
        <v/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customFormat="false" ht="15" hidden="false" customHeight="false" outlineLevel="0" collapsed="false">
      <c r="A47" s="2" t="str">
        <f aca="false">IF(C47="","",ROW()-1)</f>
        <v/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customFormat="false" ht="15" hidden="false" customHeight="false" outlineLevel="0" collapsed="false">
      <c r="A48" s="2" t="str">
        <f aca="false">IF(C48="","",ROW()-1)</f>
        <v/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customFormat="false" ht="15" hidden="false" customHeight="false" outlineLevel="0" collapsed="false">
      <c r="A49" s="2" t="str">
        <f aca="false">IF(C49="","",ROW()-1)</f>
        <v/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customFormat="false" ht="15" hidden="false" customHeight="false" outlineLevel="0" collapsed="false">
      <c r="A50" s="2" t="str">
        <f aca="false">IF(C50="","",ROW()-1)</f>
        <v/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customFormat="false" ht="15" hidden="false" customHeight="false" outlineLevel="0" collapsed="false">
      <c r="A51" s="2" t="str">
        <f aca="false">IF(C51="","",ROW()-1)</f>
        <v/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customFormat="false" ht="15" hidden="false" customHeight="false" outlineLevel="0" collapsed="false">
      <c r="A52" s="2" t="str">
        <f aca="false">IF(C52="","",ROW()-1)</f>
        <v/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customFormat="false" ht="15" hidden="false" customHeight="false" outlineLevel="0" collapsed="false">
      <c r="A53" s="2" t="str">
        <f aca="false">IF(C53="","",ROW()-1)</f>
        <v/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customFormat="false" ht="15" hidden="false" customHeight="false" outlineLevel="0" collapsed="false">
      <c r="A54" s="2" t="str">
        <f aca="false">IF(C54="","",ROW()-1)</f>
        <v/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customFormat="false" ht="15" hidden="false" customHeight="false" outlineLevel="0" collapsed="false">
      <c r="A55" s="2" t="str">
        <f aca="false">IF(C55="","",ROW()-1)</f>
        <v/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customFormat="false" ht="15" hidden="false" customHeight="false" outlineLevel="0" collapsed="false">
      <c r="A56" s="2" t="str">
        <f aca="false">IF(C56="","",ROW()-1)</f>
        <v/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customFormat="false" ht="15" hidden="false" customHeight="false" outlineLevel="0" collapsed="false">
      <c r="A57" s="2" t="str">
        <f aca="false">IF(C57="","",ROW()-1)</f>
        <v/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customFormat="false" ht="15" hidden="false" customHeight="false" outlineLevel="0" collapsed="false">
      <c r="A58" s="2" t="str">
        <f aca="false">IF(C58="","",ROW()-1)</f>
        <v/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customFormat="false" ht="15" hidden="false" customHeight="false" outlineLevel="0" collapsed="false">
      <c r="A59" s="2" t="str">
        <f aca="false">IF(C59="","",ROW()-1)</f>
        <v/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customFormat="false" ht="15" hidden="false" customHeight="false" outlineLevel="0" collapsed="false">
      <c r="A60" s="2" t="str">
        <f aca="false">IF(C60="","",ROW()-1)</f>
        <v/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customFormat="false" ht="15" hidden="false" customHeight="false" outlineLevel="0" collapsed="false">
      <c r="A61" s="2" t="str">
        <f aca="false">IF(C61="","",ROW()-1)</f>
        <v/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customFormat="false" ht="15" hidden="false" customHeight="false" outlineLevel="0" collapsed="false">
      <c r="A62" s="2" t="str">
        <f aca="false">IF(C62="","",ROW()-1)</f>
        <v/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customFormat="false" ht="15" hidden="false" customHeight="false" outlineLevel="0" collapsed="false">
      <c r="A63" s="2" t="str">
        <f aca="false">IF(C63="","",ROW()-1)</f>
        <v/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customFormat="false" ht="15" hidden="false" customHeight="false" outlineLevel="0" collapsed="false">
      <c r="A64" s="2" t="str">
        <f aca="false">IF(C64="","",ROW()-1)</f>
        <v/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customFormat="false" ht="15" hidden="false" customHeight="false" outlineLevel="0" collapsed="false">
      <c r="A65" s="2" t="str">
        <f aca="false">IF(C65="","",ROW()-1)</f>
        <v/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customFormat="false" ht="15" hidden="false" customHeight="false" outlineLevel="0" collapsed="false">
      <c r="A66" s="2" t="str">
        <f aca="false">IF(C66="","",ROW()-1)</f>
        <v/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customFormat="false" ht="15" hidden="false" customHeight="false" outlineLevel="0" collapsed="false">
      <c r="A67" s="2" t="str">
        <f aca="false">IF(C67="","",ROW()-1)</f>
        <v/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customFormat="false" ht="15" hidden="false" customHeight="false" outlineLevel="0" collapsed="false">
      <c r="A68" s="2" t="str">
        <f aca="false">IF(C68="","",ROW()-1)</f>
        <v/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customFormat="false" ht="15" hidden="false" customHeight="false" outlineLevel="0" collapsed="false">
      <c r="A69" s="2" t="str">
        <f aca="false">IF(C69="","",ROW()-1)</f>
        <v/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customFormat="false" ht="15" hidden="false" customHeight="false" outlineLevel="0" collapsed="false">
      <c r="A70" s="2" t="str">
        <f aca="false">IF(C70="","",ROW()-1)</f>
        <v/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customFormat="false" ht="15" hidden="false" customHeight="false" outlineLevel="0" collapsed="false">
      <c r="A71" s="2" t="str">
        <f aca="false">IF(C71="","",ROW()-1)</f>
        <v/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customFormat="false" ht="15" hidden="false" customHeight="false" outlineLevel="0" collapsed="false">
      <c r="A72" s="2" t="str">
        <f aca="false">IF(C72="","",ROW()-1)</f>
        <v/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customFormat="false" ht="15" hidden="false" customHeight="false" outlineLevel="0" collapsed="false">
      <c r="A73" s="2" t="str">
        <f aca="false">IF(C73="","",ROW()-1)</f>
        <v/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customFormat="false" ht="15" hidden="false" customHeight="false" outlineLevel="0" collapsed="false">
      <c r="A74" s="2" t="str">
        <f aca="false">IF(C74="","",ROW()-1)</f>
        <v/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customFormat="false" ht="15" hidden="false" customHeight="false" outlineLevel="0" collapsed="false">
      <c r="A75" s="2" t="str">
        <f aca="false">IF(C75="","",ROW()-1)</f>
        <v/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customFormat="false" ht="15" hidden="false" customHeight="false" outlineLevel="0" collapsed="false">
      <c r="A76" s="2" t="str">
        <f aca="false">IF(C76="","",ROW()-1)</f>
        <v/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customFormat="false" ht="15" hidden="false" customHeight="false" outlineLevel="0" collapsed="false">
      <c r="A77" s="2" t="str">
        <f aca="false">IF(C77="","",ROW()-1)</f>
        <v/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customFormat="false" ht="15" hidden="false" customHeight="false" outlineLevel="0" collapsed="false">
      <c r="A78" s="2" t="str">
        <f aca="false">IF(C78="","",ROW()-1)</f>
        <v/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customFormat="false" ht="15" hidden="false" customHeight="false" outlineLevel="0" collapsed="false">
      <c r="A79" s="2" t="str">
        <f aca="false">IF(C79="","",ROW()-1)</f>
        <v/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customFormat="false" ht="15" hidden="false" customHeight="false" outlineLevel="0" collapsed="false">
      <c r="A80" s="2" t="str">
        <f aca="false">IF(C80="","",ROW()-1)</f>
        <v/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customFormat="false" ht="15" hidden="false" customHeight="false" outlineLevel="0" collapsed="false">
      <c r="A81" s="2" t="str">
        <f aca="false">IF(C81="","",ROW()-1)</f>
        <v/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customFormat="false" ht="15" hidden="false" customHeight="false" outlineLevel="0" collapsed="false">
      <c r="A82" s="2" t="str">
        <f aca="false">IF(C82="","",ROW()-1)</f>
        <v/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customFormat="false" ht="15" hidden="false" customHeight="false" outlineLevel="0" collapsed="false">
      <c r="A83" s="2" t="str">
        <f aca="false">IF(C83="","",ROW()-1)</f>
        <v/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customFormat="false" ht="15" hidden="false" customHeight="false" outlineLevel="0" collapsed="false">
      <c r="A84" s="2" t="str">
        <f aca="false">IF(C84="","",ROW()-1)</f>
        <v/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customFormat="false" ht="15" hidden="false" customHeight="false" outlineLevel="0" collapsed="false">
      <c r="A85" s="2" t="str">
        <f aca="false">IF(C85="","",ROW()-1)</f>
        <v/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customFormat="false" ht="15" hidden="false" customHeight="false" outlineLevel="0" collapsed="false">
      <c r="A86" s="2" t="str">
        <f aca="false">IF(C86="","",ROW()-1)</f>
        <v/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customFormat="false" ht="15" hidden="false" customHeight="false" outlineLevel="0" collapsed="false">
      <c r="A87" s="2" t="str">
        <f aca="false">IF(C87="","",ROW()-1)</f>
        <v/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customFormat="false" ht="15" hidden="false" customHeight="false" outlineLevel="0" collapsed="false">
      <c r="A88" s="2" t="str">
        <f aca="false">IF(C88="","",ROW()-1)</f>
        <v/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customFormat="false" ht="15" hidden="false" customHeight="false" outlineLevel="0" collapsed="false">
      <c r="A89" s="2" t="str">
        <f aca="false">IF(C89="","",ROW()-1)</f>
        <v/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customFormat="false" ht="15" hidden="false" customHeight="false" outlineLevel="0" collapsed="false">
      <c r="A90" s="2" t="str">
        <f aca="false">IF(C90="","",ROW()-1)</f>
        <v/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customFormat="false" ht="15" hidden="false" customHeight="false" outlineLevel="0" collapsed="false">
      <c r="A91" s="2" t="str">
        <f aca="false">IF(C91="","",ROW()-1)</f>
        <v/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customFormat="false" ht="15" hidden="false" customHeight="false" outlineLevel="0" collapsed="false">
      <c r="A92" s="2" t="str">
        <f aca="false">IF(C92="","",ROW()-1)</f>
        <v/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customFormat="false" ht="15" hidden="false" customHeight="false" outlineLevel="0" collapsed="false">
      <c r="A93" s="2" t="str">
        <f aca="false">IF(C93="","",ROW()-1)</f>
        <v/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customFormat="false" ht="15" hidden="false" customHeight="false" outlineLevel="0" collapsed="false">
      <c r="A94" s="2" t="str">
        <f aca="false">IF(C94="","",ROW()-1)</f>
        <v/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customFormat="false" ht="15" hidden="false" customHeight="false" outlineLevel="0" collapsed="false">
      <c r="A95" s="2" t="str">
        <f aca="false">IF(C95="","",ROW()-1)</f>
        <v/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customFormat="false" ht="15" hidden="false" customHeight="false" outlineLevel="0" collapsed="false">
      <c r="A96" s="2" t="str">
        <f aca="false">IF(C96="","",ROW()-1)</f>
        <v/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customFormat="false" ht="15" hidden="false" customHeight="false" outlineLevel="0" collapsed="false">
      <c r="A97" s="2" t="str">
        <f aca="false">IF(C97="","",ROW()-1)</f>
        <v/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customFormat="false" ht="15" hidden="false" customHeight="false" outlineLevel="0" collapsed="false">
      <c r="A98" s="2" t="str">
        <f aca="false">IF(C98="","",ROW()-1)</f>
        <v/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customFormat="false" ht="15" hidden="false" customHeight="false" outlineLevel="0" collapsed="false">
      <c r="A99" s="2" t="str">
        <f aca="false">IF(C99="","",ROW()-1)</f>
        <v/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customFormat="false" ht="15" hidden="false" customHeight="false" outlineLevel="0" collapsed="false">
      <c r="A100" s="2" t="str">
        <f aca="false">IF(C100="","",ROW()-1)</f>
        <v/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customFormat="false" ht="15" hidden="false" customHeight="false" outlineLevel="0" collapsed="false">
      <c r="A101" s="2" t="str">
        <f aca="false">IF(C101="","",ROW()-1)</f>
        <v/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customFormat="false" ht="15" hidden="false" customHeight="false" outlineLevel="0" collapsed="false">
      <c r="A102" s="2" t="str">
        <f aca="false">IF(C102="","",ROW()-1)</f>
        <v/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customFormat="false" ht="15" hidden="false" customHeight="false" outlineLevel="0" collapsed="false">
      <c r="A103" s="2" t="str">
        <f aca="false">IF(C103="","",ROW()-1)</f>
        <v/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customFormat="false" ht="15" hidden="false" customHeight="false" outlineLevel="0" collapsed="false">
      <c r="A104" s="2" t="str">
        <f aca="false">IF(C104="","",ROW()-1)</f>
        <v/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customFormat="false" ht="15" hidden="false" customHeight="false" outlineLevel="0" collapsed="false">
      <c r="A105" s="2" t="str">
        <f aca="false">IF(C105="","",ROW()-1)</f>
        <v/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customFormat="false" ht="15" hidden="false" customHeight="false" outlineLevel="0" collapsed="false">
      <c r="A106" s="2" t="str">
        <f aca="false">IF(C106="","",ROW()-1)</f>
        <v/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customFormat="false" ht="15" hidden="false" customHeight="false" outlineLevel="0" collapsed="false">
      <c r="A107" s="2" t="str">
        <f aca="false">IF(C107="","",ROW()-1)</f>
        <v/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customFormat="false" ht="15" hidden="false" customHeight="false" outlineLevel="0" collapsed="false">
      <c r="A108" s="2" t="str">
        <f aca="false">IF(C108="","",ROW()-1)</f>
        <v/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customFormat="false" ht="15" hidden="false" customHeight="false" outlineLevel="0" collapsed="false">
      <c r="A109" s="2" t="str">
        <f aca="false">IF(C109="","",ROW()-1)</f>
        <v/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customFormat="false" ht="15" hidden="false" customHeight="false" outlineLevel="0" collapsed="false">
      <c r="A110" s="2" t="str">
        <f aca="false">IF(C110="","",ROW()-1)</f>
        <v/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customFormat="false" ht="15" hidden="false" customHeight="false" outlineLevel="0" collapsed="false">
      <c r="A111" s="2" t="str">
        <f aca="false">IF(C111="","",ROW()-1)</f>
        <v/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customFormat="false" ht="15" hidden="false" customHeight="false" outlineLevel="0" collapsed="false">
      <c r="A112" s="2" t="str">
        <f aca="false">IF(C112="","",ROW()-1)</f>
        <v/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customFormat="false" ht="15" hidden="false" customHeight="false" outlineLevel="0" collapsed="false">
      <c r="A113" s="2" t="str">
        <f aca="false">IF(C113="","",ROW()-1)</f>
        <v/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customFormat="false" ht="15" hidden="false" customHeight="false" outlineLevel="0" collapsed="false">
      <c r="A114" s="2" t="str">
        <f aca="false">IF(C114="","",ROW()-1)</f>
        <v/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customFormat="false" ht="15" hidden="false" customHeight="false" outlineLevel="0" collapsed="false">
      <c r="A115" s="2" t="str">
        <f aca="false">IF(C115="","",ROW()-1)</f>
        <v/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customFormat="false" ht="15" hidden="false" customHeight="false" outlineLevel="0" collapsed="false">
      <c r="A116" s="2" t="str">
        <f aca="false">IF(C116="","",ROW()-1)</f>
        <v/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customFormat="false" ht="15" hidden="false" customHeight="false" outlineLevel="0" collapsed="false">
      <c r="A117" s="2" t="str">
        <f aca="false">IF(C117="","",ROW()-1)</f>
        <v/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customFormat="false" ht="15" hidden="false" customHeight="false" outlineLevel="0" collapsed="false">
      <c r="A118" s="2" t="str">
        <f aca="false">IF(C118="","",ROW()-1)</f>
        <v/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customFormat="false" ht="15" hidden="false" customHeight="false" outlineLevel="0" collapsed="false">
      <c r="A119" s="2" t="str">
        <f aca="false">IF(C119="","",ROW()-1)</f>
        <v/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customFormat="false" ht="15" hidden="false" customHeight="false" outlineLevel="0" collapsed="false">
      <c r="A120" s="2" t="str">
        <f aca="false">IF(C120="","",ROW()-1)</f>
        <v/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customFormat="false" ht="15" hidden="false" customHeight="false" outlineLevel="0" collapsed="false">
      <c r="A121" s="2" t="str">
        <f aca="false">IF(C121="","",ROW()-1)</f>
        <v/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customFormat="false" ht="15" hidden="false" customHeight="false" outlineLevel="0" collapsed="false">
      <c r="A122" s="2" t="str">
        <f aca="false">IF(C122="","",ROW()-1)</f>
        <v/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customFormat="false" ht="15" hidden="false" customHeight="false" outlineLevel="0" collapsed="false">
      <c r="A123" s="2" t="str">
        <f aca="false">IF(C123="","",ROW()-1)</f>
        <v/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customFormat="false" ht="15" hidden="false" customHeight="false" outlineLevel="0" collapsed="false">
      <c r="A124" s="2" t="str">
        <f aca="false">IF(C124="","",ROW()-1)</f>
        <v/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customFormat="false" ht="15" hidden="false" customHeight="false" outlineLevel="0" collapsed="false">
      <c r="A125" s="2" t="str">
        <f aca="false">IF(C125="","",ROW()-1)</f>
        <v/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customFormat="false" ht="15" hidden="false" customHeight="false" outlineLevel="0" collapsed="false">
      <c r="A126" s="2" t="str">
        <f aca="false">IF(C126="","",ROW()-1)</f>
        <v/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customFormat="false" ht="15" hidden="false" customHeight="false" outlineLevel="0" collapsed="false">
      <c r="A127" s="2" t="str">
        <f aca="false">IF(C127="","",ROW()-1)</f>
        <v/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customFormat="false" ht="15" hidden="false" customHeight="false" outlineLevel="0" collapsed="false">
      <c r="A128" s="2" t="str">
        <f aca="false">IF(C128="","",ROW()-1)</f>
        <v/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customFormat="false" ht="15" hidden="false" customHeight="false" outlineLevel="0" collapsed="false">
      <c r="A129" s="2" t="str">
        <f aca="false">IF(C129="","",ROW()-1)</f>
        <v/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customFormat="false" ht="15" hidden="false" customHeight="false" outlineLevel="0" collapsed="false">
      <c r="A130" s="2" t="str">
        <f aca="false">IF(C130="","",ROW()-1)</f>
        <v/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customFormat="false" ht="15" hidden="false" customHeight="false" outlineLevel="0" collapsed="false">
      <c r="A131" s="2" t="str">
        <f aca="false">IF(C131="","",ROW()-1)</f>
        <v/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customFormat="false" ht="15" hidden="false" customHeight="false" outlineLevel="0" collapsed="false">
      <c r="A132" s="2" t="str">
        <f aca="false">IF(C132="","",ROW()-1)</f>
        <v/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customFormat="false" ht="15" hidden="false" customHeight="false" outlineLevel="0" collapsed="false">
      <c r="A133" s="2" t="str">
        <f aca="false">IF(C133="","",ROW()-1)</f>
        <v/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customFormat="false" ht="15" hidden="false" customHeight="false" outlineLevel="0" collapsed="false">
      <c r="A134" s="2" t="str">
        <f aca="false">IF(C134="","",ROW()-1)</f>
        <v/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customFormat="false" ht="15" hidden="false" customHeight="false" outlineLevel="0" collapsed="false">
      <c r="A135" s="2" t="str">
        <f aca="false">IF(C135="","",ROW()-1)</f>
        <v/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customFormat="false" ht="15" hidden="false" customHeight="false" outlineLevel="0" collapsed="false">
      <c r="A136" s="2" t="str">
        <f aca="false">IF(C136="","",ROW()-1)</f>
        <v/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customFormat="false" ht="15" hidden="false" customHeight="false" outlineLevel="0" collapsed="false">
      <c r="A137" s="2" t="str">
        <f aca="false">IF(C137="","",ROW()-1)</f>
        <v/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customFormat="false" ht="15" hidden="false" customHeight="false" outlineLevel="0" collapsed="false">
      <c r="A138" s="2" t="str">
        <f aca="false">IF(C138="","",ROW()-1)</f>
        <v/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customFormat="false" ht="15" hidden="false" customHeight="false" outlineLevel="0" collapsed="false">
      <c r="A139" s="2" t="str">
        <f aca="false">IF(C139="","",ROW()-1)</f>
        <v/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customFormat="false" ht="15" hidden="false" customHeight="false" outlineLevel="0" collapsed="false">
      <c r="A140" s="2" t="str">
        <f aca="false">IF(C140="","",ROW()-1)</f>
        <v/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customFormat="false" ht="15" hidden="false" customHeight="false" outlineLevel="0" collapsed="false">
      <c r="A141" s="2" t="str">
        <f aca="false">IF(C141="","",ROW()-1)</f>
        <v/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customFormat="false" ht="15" hidden="false" customHeight="false" outlineLevel="0" collapsed="false">
      <c r="A142" s="2" t="str">
        <f aca="false">IF(C142="","",ROW()-1)</f>
        <v/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customFormat="false" ht="15" hidden="false" customHeight="false" outlineLevel="0" collapsed="false">
      <c r="A143" s="2" t="str">
        <f aca="false">IF(C143="","",ROW()-1)</f>
        <v/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customFormat="false" ht="15" hidden="false" customHeight="false" outlineLevel="0" collapsed="false">
      <c r="A144" s="2" t="str">
        <f aca="false">IF(C144="","",ROW()-1)</f>
        <v/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customFormat="false" ht="15" hidden="false" customHeight="false" outlineLevel="0" collapsed="false">
      <c r="A145" s="2" t="str">
        <f aca="false">IF(C145="","",ROW()-1)</f>
        <v/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customFormat="false" ht="15" hidden="false" customHeight="false" outlineLevel="0" collapsed="false">
      <c r="A146" s="2" t="str">
        <f aca="false">IF(C146="","",ROW()-1)</f>
        <v/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customFormat="false" ht="15" hidden="false" customHeight="false" outlineLevel="0" collapsed="false">
      <c r="A147" s="2" t="str">
        <f aca="false">IF(C147="","",ROW()-1)</f>
        <v/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customFormat="false" ht="15" hidden="false" customHeight="false" outlineLevel="0" collapsed="false">
      <c r="A148" s="2" t="str">
        <f aca="false">IF(C148="","",ROW()-1)</f>
        <v/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customFormat="false" ht="15" hidden="false" customHeight="false" outlineLevel="0" collapsed="false">
      <c r="A149" s="2" t="str">
        <f aca="false">IF(C149="","",ROW()-1)</f>
        <v/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customFormat="false" ht="15" hidden="false" customHeight="false" outlineLevel="0" collapsed="false">
      <c r="A150" s="2" t="str">
        <f aca="false">IF(C150="","",ROW()-1)</f>
        <v/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customFormat="false" ht="15" hidden="false" customHeight="false" outlineLevel="0" collapsed="false">
      <c r="A151" s="2" t="str">
        <f aca="false">IF(C151="","",ROW()-1)</f>
        <v/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customFormat="false" ht="15" hidden="false" customHeight="false" outlineLevel="0" collapsed="false">
      <c r="A152" s="2" t="str">
        <f aca="false">IF(C152="","",ROW()-1)</f>
        <v/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customFormat="false" ht="15" hidden="false" customHeight="false" outlineLevel="0" collapsed="false">
      <c r="A153" s="2" t="str">
        <f aca="false">IF(C153="","",ROW()-1)</f>
        <v/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customFormat="false" ht="15" hidden="false" customHeight="false" outlineLevel="0" collapsed="false">
      <c r="A154" s="2" t="str">
        <f aca="false">IF(C154="","",ROW()-1)</f>
        <v/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customFormat="false" ht="15" hidden="false" customHeight="false" outlineLevel="0" collapsed="false">
      <c r="A155" s="2" t="str">
        <f aca="false">IF(C155="","",ROW()-1)</f>
        <v/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customFormat="false" ht="15" hidden="false" customHeight="false" outlineLevel="0" collapsed="false">
      <c r="A156" s="2" t="str">
        <f aca="false">IF(C156="","",ROW()-1)</f>
        <v/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customFormat="false" ht="15" hidden="false" customHeight="false" outlineLevel="0" collapsed="false">
      <c r="A157" s="2" t="str">
        <f aca="false">IF(C157="","",ROW()-1)</f>
        <v/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customFormat="false" ht="15" hidden="false" customHeight="false" outlineLevel="0" collapsed="false">
      <c r="A158" s="2" t="str">
        <f aca="false">IF(C158="","",ROW()-1)</f>
        <v/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customFormat="false" ht="15" hidden="false" customHeight="false" outlineLevel="0" collapsed="false">
      <c r="A159" s="2" t="str">
        <f aca="false">IF(C159="","",ROW()-1)</f>
        <v/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customFormat="false" ht="15" hidden="false" customHeight="false" outlineLevel="0" collapsed="false">
      <c r="A160" s="2" t="str">
        <f aca="false">IF(C160="","",ROW()-1)</f>
        <v/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customFormat="false" ht="15" hidden="false" customHeight="false" outlineLevel="0" collapsed="false">
      <c r="A161" s="2" t="str">
        <f aca="false">IF(C161="","",ROW()-1)</f>
        <v/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customFormat="false" ht="15" hidden="false" customHeight="false" outlineLevel="0" collapsed="false">
      <c r="A162" s="2" t="str">
        <f aca="false">IF(C162="","",ROW()-1)</f>
        <v/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customFormat="false" ht="15" hidden="false" customHeight="false" outlineLevel="0" collapsed="false">
      <c r="A163" s="2" t="str">
        <f aca="false">IF(C163="","",ROW()-1)</f>
        <v/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customFormat="false" ht="15" hidden="false" customHeight="false" outlineLevel="0" collapsed="false">
      <c r="A164" s="2" t="str">
        <f aca="false">IF(C164="","",ROW()-1)</f>
        <v/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customFormat="false" ht="15" hidden="false" customHeight="false" outlineLevel="0" collapsed="false">
      <c r="A165" s="2" t="str">
        <f aca="false">IF(C165="","",ROW()-1)</f>
        <v/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customFormat="false" ht="15" hidden="false" customHeight="false" outlineLevel="0" collapsed="false">
      <c r="A166" s="2" t="str">
        <f aca="false">IF(C166="","",ROW()-1)</f>
        <v/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customFormat="false" ht="15" hidden="false" customHeight="false" outlineLevel="0" collapsed="false">
      <c r="A167" s="2" t="str">
        <f aca="false">IF(C167="","",ROW()-1)</f>
        <v/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customFormat="false" ht="15" hidden="false" customHeight="false" outlineLevel="0" collapsed="false">
      <c r="A168" s="2" t="str">
        <f aca="false">IF(C168="","",ROW()-1)</f>
        <v/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customFormat="false" ht="15" hidden="false" customHeight="false" outlineLevel="0" collapsed="false">
      <c r="A169" s="2" t="str">
        <f aca="false">IF(C169="","",ROW()-1)</f>
        <v/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customFormat="false" ht="15" hidden="false" customHeight="false" outlineLevel="0" collapsed="false">
      <c r="A170" s="2" t="str">
        <f aca="false">IF(C170="","",ROW()-1)</f>
        <v/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customFormat="false" ht="15" hidden="false" customHeight="false" outlineLevel="0" collapsed="false">
      <c r="A171" s="2" t="str">
        <f aca="false">IF(C171="","",ROW()-1)</f>
        <v/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customFormat="false" ht="15" hidden="false" customHeight="false" outlineLevel="0" collapsed="false">
      <c r="A172" s="2" t="str">
        <f aca="false">IF(C172="","",ROW()-1)</f>
        <v/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customFormat="false" ht="15" hidden="false" customHeight="false" outlineLevel="0" collapsed="false">
      <c r="A173" s="2" t="str">
        <f aca="false">IF(C173="","",ROW()-1)</f>
        <v/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customFormat="false" ht="15" hidden="false" customHeight="false" outlineLevel="0" collapsed="false">
      <c r="A174" s="2" t="str">
        <f aca="false">IF(C174="","",ROW()-1)</f>
        <v/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customFormat="false" ht="15" hidden="false" customHeight="false" outlineLevel="0" collapsed="false">
      <c r="A175" s="2" t="str">
        <f aca="false">IF(C175="","",ROW()-1)</f>
        <v/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customFormat="false" ht="15" hidden="false" customHeight="false" outlineLevel="0" collapsed="false">
      <c r="A176" s="2" t="str">
        <f aca="false">IF(C176="","",ROW()-1)</f>
        <v/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customFormat="false" ht="15" hidden="false" customHeight="false" outlineLevel="0" collapsed="false">
      <c r="A177" s="2" t="str">
        <f aca="false">IF(C177="","",ROW()-1)</f>
        <v/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customFormat="false" ht="15" hidden="false" customHeight="false" outlineLevel="0" collapsed="false">
      <c r="A178" s="2" t="str">
        <f aca="false">IF(C178="","",ROW()-1)</f>
        <v/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customFormat="false" ht="15" hidden="false" customHeight="false" outlineLevel="0" collapsed="false">
      <c r="A179" s="2" t="str">
        <f aca="false">IF(C179="","",ROW()-1)</f>
        <v/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customFormat="false" ht="15" hidden="false" customHeight="false" outlineLevel="0" collapsed="false">
      <c r="A180" s="2" t="str">
        <f aca="false">IF(C180="","",ROW()-1)</f>
        <v/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customFormat="false" ht="15" hidden="false" customHeight="false" outlineLevel="0" collapsed="false">
      <c r="A181" s="2" t="str">
        <f aca="false">IF(C181="","",ROW()-1)</f>
        <v/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customFormat="false" ht="15" hidden="false" customHeight="false" outlineLevel="0" collapsed="false">
      <c r="A182" s="2" t="str">
        <f aca="false">IF(C182="","",ROW()-1)</f>
        <v/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customFormat="false" ht="15" hidden="false" customHeight="false" outlineLevel="0" collapsed="false">
      <c r="A183" s="2" t="str">
        <f aca="false">IF(C183="","",ROW()-1)</f>
        <v/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customFormat="false" ht="15" hidden="false" customHeight="false" outlineLevel="0" collapsed="false">
      <c r="A184" s="2" t="str">
        <f aca="false">IF(C184="","",ROW()-1)</f>
        <v/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customFormat="false" ht="15" hidden="false" customHeight="false" outlineLevel="0" collapsed="false">
      <c r="A185" s="2" t="str">
        <f aca="false">IF(C185="","",ROW()-1)</f>
        <v/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customFormat="false" ht="15" hidden="false" customHeight="false" outlineLevel="0" collapsed="false">
      <c r="A186" s="2" t="str">
        <f aca="false">IF(C186="","",ROW()-1)</f>
        <v/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customFormat="false" ht="15" hidden="false" customHeight="false" outlineLevel="0" collapsed="false">
      <c r="A187" s="2" t="str">
        <f aca="false">IF(C187="","",ROW()-1)</f>
        <v/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customFormat="false" ht="15" hidden="false" customHeight="false" outlineLevel="0" collapsed="false">
      <c r="A188" s="2" t="str">
        <f aca="false">IF(C188="","",ROW()-1)</f>
        <v/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customFormat="false" ht="15" hidden="false" customHeight="false" outlineLevel="0" collapsed="false">
      <c r="A189" s="2" t="str">
        <f aca="false">IF(C189="","",ROW()-1)</f>
        <v/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customFormat="false" ht="15" hidden="false" customHeight="false" outlineLevel="0" collapsed="false">
      <c r="A190" s="2" t="str">
        <f aca="false">IF(C190="","",ROW()-1)</f>
        <v/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customFormat="false" ht="15" hidden="false" customHeight="false" outlineLevel="0" collapsed="false">
      <c r="A191" s="2" t="str">
        <f aca="false">IF(C191="","",ROW()-1)</f>
        <v/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customFormat="false" ht="15" hidden="false" customHeight="false" outlineLevel="0" collapsed="false">
      <c r="A192" s="2" t="str">
        <f aca="false">IF(C192="","",ROW()-1)</f>
        <v/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customFormat="false" ht="15" hidden="false" customHeight="false" outlineLevel="0" collapsed="false">
      <c r="A193" s="2" t="str">
        <f aca="false">IF(C193="","",ROW()-1)</f>
        <v/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customFormat="false" ht="15" hidden="false" customHeight="false" outlineLevel="0" collapsed="false">
      <c r="A194" s="2" t="str">
        <f aca="false">IF(C194="","",ROW()-1)</f>
        <v/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customFormat="false" ht="15" hidden="false" customHeight="false" outlineLevel="0" collapsed="false">
      <c r="A195" s="2" t="str">
        <f aca="false">IF(C195="","",ROW()-1)</f>
        <v/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customFormat="false" ht="15" hidden="false" customHeight="false" outlineLevel="0" collapsed="false">
      <c r="A196" s="2" t="str">
        <f aca="false">IF(C196="","",ROW()-1)</f>
        <v/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customFormat="false" ht="15" hidden="false" customHeight="false" outlineLevel="0" collapsed="false">
      <c r="A197" s="2" t="str">
        <f aca="false">IF(C197="","",ROW()-1)</f>
        <v/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customFormat="false" ht="15" hidden="false" customHeight="false" outlineLevel="0" collapsed="false">
      <c r="A198" s="2" t="str">
        <f aca="false">IF(C198="","",ROW()-1)</f>
        <v/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customFormat="false" ht="15" hidden="false" customHeight="false" outlineLevel="0" collapsed="false">
      <c r="A199" s="2" t="str">
        <f aca="false">IF(C199="","",ROW()-1)</f>
        <v/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customFormat="false" ht="15" hidden="false" customHeight="false" outlineLevel="0" collapsed="false">
      <c r="A200" s="2" t="str">
        <f aca="false">IF(C200="","",ROW()-1)</f>
        <v/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customFormat="false" ht="15" hidden="false" customHeight="false" outlineLevel="0" collapsed="false">
      <c r="A201" s="2" t="str">
        <f aca="false">IF(C201="","",ROW()-1)</f>
        <v/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</sheetData>
  <conditionalFormatting sqref="J2:J201">
    <cfRule type="expression" priority="2" aboveAverage="0" equalAverage="0" bottom="0" percent="0" rank="0" text="" dxfId="0">
      <formula>$J2="Inscrito"</formula>
    </cfRule>
    <cfRule type="expression" priority="3" aboveAverage="0" equalAverage="0" bottom="0" percent="0" rank="0" text="" dxfId="1">
      <formula>$J2="Pagó"</formula>
    </cfRule>
    <cfRule type="expression" priority="4" aboveAverage="0" equalAverage="0" bottom="0" percent="0" rank="0" text="" dxfId="2">
      <formula>$J2="Confirmado"</formula>
    </cfRule>
    <cfRule type="expression" priority="5" aboveAverage="0" equalAverage="0" bottom="0" percent="0" rank="0" text="" dxfId="3">
      <formula>$J2="Onboarded"</formula>
    </cfRule>
    <cfRule type="expression" priority="6" aboveAverage="0" equalAverage="0" bottom="0" percent="0" rank="0" text="" dxfId="4">
      <formula>$J2="Cancelado"</formula>
    </cfRule>
  </conditionalFormatting>
  <dataValidations count="4">
    <dataValidation allowBlank="true" errorStyle="stop" operator="between" showDropDown="false" showErrorMessage="false" showInputMessage="false" sqref="J2:J201" type="list">
      <formula1>"Inscrito,Pagó,Confirmado,Onboarded,Cancelado"</formula1>
      <formula2>0</formula2>
    </dataValidation>
    <dataValidation allowBlank="true" errorStyle="stop" operator="between" showDropDown="false" showErrorMessage="false" showInputMessage="false" sqref="K2:K201" type="list">
      <formula1>"Mercado Pago,PayPal,Transferencia,-"</formula1>
      <formula2>0</formula2>
    </dataValidation>
    <dataValidation allowBlank="true" errorStyle="stop" operator="between" showDropDown="false" showErrorMessage="false" showInputMessage="false" sqref="I2:I201" type="list">
      <formula1>"Martes 🇨🇱,Jueves 🇨🇱,Sábado 🇪🇸"</formula1>
      <formula2>0</formula2>
    </dataValidation>
    <dataValidation allowBlank="true" errorStyle="stop" operator="between" showDropDown="false" showErrorMessage="false" showInputMessage="false" sqref="H2:H201" type="list">
      <formula1>"Instagram,TikTok,YouTube,Facebook,Taller gratuito,Recomendación,Google,Otro"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22.05" hidden="false" customHeight="false" outlineLevel="0" collapsed="false">
      <c r="A1" s="4" t="s">
        <v>14</v>
      </c>
    </row>
    <row r="2" customFormat="false" ht="15" hidden="false" customHeight="false" outlineLevel="0" collapsed="false">
      <c r="A2" s="5" t="s">
        <v>15</v>
      </c>
    </row>
    <row r="4" customFormat="false" ht="15" hidden="false" customHeight="false" outlineLevel="0" collapsed="false">
      <c r="A4" s="6" t="s">
        <v>16</v>
      </c>
      <c r="D4" s="6" t="s">
        <v>17</v>
      </c>
    </row>
    <row r="5" customFormat="false" ht="15" hidden="false" customHeight="false" outlineLevel="0" collapsed="false">
      <c r="A5" s="7" t="s">
        <v>18</v>
      </c>
      <c r="B5" s="8" t="n">
        <f aca="false">COUNTIF(Pipeline!J2:J201,"Inscrito")+COUNTIF(Pipeline!J2:J201,"Pagó")+COUNTIF(Pipeline!J2:J201,"Confirmado")+COUNTIF(Pipeline!J2:J201,"Onboarded")</f>
        <v>0</v>
      </c>
      <c r="D5" s="9" t="s">
        <v>8</v>
      </c>
      <c r="E5" s="9" t="s">
        <v>19</v>
      </c>
      <c r="F5" s="9" t="s">
        <v>20</v>
      </c>
      <c r="G5" s="9" t="s">
        <v>9</v>
      </c>
    </row>
    <row r="6" customFormat="false" ht="15" hidden="false" customHeight="false" outlineLevel="0" collapsed="false">
      <c r="A6" s="7" t="s">
        <v>21</v>
      </c>
      <c r="B6" s="8" t="n">
        <f aca="false">COUNTIF(Pipeline!J2:J201,"Pagó")+COUNTIF(Pipeline!J2:J201,"Confirmado")+COUNTIF(Pipeline!J2:J201,"Onboarded")</f>
        <v>0</v>
      </c>
      <c r="D6" s="8" t="s">
        <v>22</v>
      </c>
      <c r="E6" s="10" t="n">
        <f aca="false">COUNTIFS(Pipeline!I2:I201,"Martes 🇨🇱",Pipeline!J2:J201,"Confirmado")+COUNTIFS(Pipeline!I2:I201,"Martes 🇨🇱",Pipeline!J2:J201,"Onboarded")</f>
        <v>0</v>
      </c>
      <c r="F6" s="11" t="n">
        <f aca="false">15-E6</f>
        <v>15</v>
      </c>
      <c r="G6" s="12" t="str">
        <f aca="false">IF(F6&lt;=0,"CERRADA",IF(F6&lt;=3,"¡Últimos!","Abierta"))</f>
        <v>Abierta</v>
      </c>
    </row>
    <row r="7" customFormat="false" ht="15" hidden="false" customHeight="false" outlineLevel="0" collapsed="false">
      <c r="A7" s="7" t="s">
        <v>23</v>
      </c>
      <c r="B7" s="8" t="n">
        <f aca="false">COUNTIF(Pipeline!J2:J201,"Confirmado")+COUNTIF(Pipeline!J2:J201,"Onboarded")</f>
        <v>0</v>
      </c>
      <c r="D7" s="8" t="s">
        <v>24</v>
      </c>
      <c r="E7" s="10" t="n">
        <f aca="false">COUNTIFS(Pipeline!I2:I201,"Jueves 🇨🇱",Pipeline!J2:J201,"Confirmado")+COUNTIFS(Pipeline!I2:I201,"Jueves 🇨🇱",Pipeline!J2:J201,"Onboarded")</f>
        <v>0</v>
      </c>
      <c r="F7" s="11" t="n">
        <f aca="false">15-E7</f>
        <v>15</v>
      </c>
      <c r="G7" s="12" t="str">
        <f aca="false">IF(F7&lt;=0,"CERRADA",IF(F7&lt;=3,"¡Últimos!","Abierta"))</f>
        <v>Abierta</v>
      </c>
    </row>
    <row r="8" customFormat="false" ht="15" hidden="false" customHeight="false" outlineLevel="0" collapsed="false">
      <c r="A8" s="7" t="s">
        <v>25</v>
      </c>
      <c r="B8" s="8" t="n">
        <f aca="false">COUNTIF(Pipeline!J2:J201,"Onboarded")</f>
        <v>0</v>
      </c>
      <c r="D8" s="8" t="s">
        <v>26</v>
      </c>
      <c r="E8" s="10" t="n">
        <f aca="false">COUNTIFS(Pipeline!I2:I201,"Sábado 🇪🇸",Pipeline!J2:J201,"Confirmado")+COUNTIFS(Pipeline!I2:I201,"Sábado 🇪🇸",Pipeline!J2:J201,"Onboarded")</f>
        <v>0</v>
      </c>
      <c r="F8" s="11" t="n">
        <f aca="false">15-E8</f>
        <v>15</v>
      </c>
      <c r="G8" s="12" t="str">
        <f aca="false">IF(F8&lt;=0,"CERRADA",IF(F8&lt;=3,"¡Últimos!","Abierta"))</f>
        <v>Abierta</v>
      </c>
    </row>
    <row r="9" customFormat="false" ht="15" hidden="false" customHeight="false" outlineLevel="0" collapsed="false">
      <c r="A9" s="7" t="s">
        <v>27</v>
      </c>
      <c r="B9" s="8" t="n">
        <f aca="false">COUNTIF(Pipeline!J2:J201,"Cancelado")</f>
        <v>0</v>
      </c>
    </row>
    <row r="10" customFormat="false" ht="15" hidden="false" customHeight="false" outlineLevel="0" collapsed="false">
      <c r="D10" s="6" t="s">
        <v>28</v>
      </c>
    </row>
    <row r="11" customFormat="false" ht="15" hidden="false" customHeight="false" outlineLevel="0" collapsed="false">
      <c r="A11" s="13" t="s">
        <v>29</v>
      </c>
      <c r="B11" s="14" t="n">
        <f aca="false">IFERROR(B6/B5,0)</f>
        <v>0</v>
      </c>
      <c r="D11" s="7" t="s">
        <v>30</v>
      </c>
      <c r="E11" s="15" t="n">
        <f aca="false">B6*89</f>
        <v>0</v>
      </c>
    </row>
    <row r="12" customFormat="false" ht="15" hidden="false" customHeight="false" outlineLevel="0" collapsed="false">
      <c r="D12" s="7" t="s">
        <v>31</v>
      </c>
      <c r="E12" s="16" t="n">
        <f aca="false">45*89</f>
        <v>4005</v>
      </c>
    </row>
    <row r="13" customFormat="false" ht="15" hidden="false" customHeight="false" outlineLevel="0" collapsed="false">
      <c r="D13" s="7" t="s">
        <v>32</v>
      </c>
      <c r="E13" s="17" t="n">
        <f aca="false">IFERROR(B6/45,0)</f>
        <v>0</v>
      </c>
    </row>
    <row r="15" customFormat="false" ht="15" hidden="false" customHeight="false" outlineLevel="0" collapsed="false">
      <c r="A15" s="6" t="s">
        <v>33</v>
      </c>
    </row>
    <row r="16" customFormat="false" ht="15" hidden="false" customHeight="false" outlineLevel="0" collapsed="false">
      <c r="A16" s="18" t="s">
        <v>34</v>
      </c>
      <c r="B16" s="18" t="s">
        <v>18</v>
      </c>
    </row>
    <row r="17" customFormat="false" ht="15" hidden="false" customHeight="false" outlineLevel="0" collapsed="false">
      <c r="A17" s="8" t="s">
        <v>35</v>
      </c>
      <c r="B17" s="8" t="n">
        <f aca="false">COUNTIF(Pipeline!H2:H201,"Instagram")</f>
        <v>0</v>
      </c>
    </row>
    <row r="18" customFormat="false" ht="15" hidden="false" customHeight="false" outlineLevel="0" collapsed="false">
      <c r="A18" s="8" t="s">
        <v>36</v>
      </c>
      <c r="B18" s="8" t="n">
        <f aca="false">COUNTIF(Pipeline!H2:H201,"TikTok")</f>
        <v>0</v>
      </c>
    </row>
    <row r="19" customFormat="false" ht="15" hidden="false" customHeight="false" outlineLevel="0" collapsed="false">
      <c r="A19" s="8" t="s">
        <v>37</v>
      </c>
      <c r="B19" s="8" t="n">
        <f aca="false">COUNTIF(Pipeline!H2:H201,"YouTube")</f>
        <v>0</v>
      </c>
    </row>
    <row r="20" customFormat="false" ht="15" hidden="false" customHeight="false" outlineLevel="0" collapsed="false">
      <c r="A20" s="8" t="s">
        <v>38</v>
      </c>
      <c r="B20" s="8" t="n">
        <f aca="false">COUNTIF(Pipeline!H2:H201,"Facebook")</f>
        <v>0</v>
      </c>
    </row>
    <row r="21" customFormat="false" ht="15" hidden="false" customHeight="false" outlineLevel="0" collapsed="false">
      <c r="A21" s="8" t="s">
        <v>39</v>
      </c>
      <c r="B21" s="8" t="n">
        <f aca="false">COUNTIF(Pipeline!H2:H201,"Taller gratuito")</f>
        <v>0</v>
      </c>
    </row>
    <row r="22" customFormat="false" ht="15" hidden="false" customHeight="false" outlineLevel="0" collapsed="false">
      <c r="A22" s="8" t="s">
        <v>40</v>
      </c>
      <c r="B22" s="8" t="n">
        <f aca="false">COUNTIF(Pipeline!H2:H201,"Recomendación")</f>
        <v>0</v>
      </c>
    </row>
    <row r="23" customFormat="false" ht="15" hidden="false" customHeight="false" outlineLevel="0" collapsed="false">
      <c r="A23" s="8" t="s">
        <v>41</v>
      </c>
      <c r="B23" s="8" t="n">
        <f aca="false">COUNTIF(Pipeline!H2:H201,"Google")</f>
        <v>0</v>
      </c>
    </row>
    <row r="24" customFormat="false" ht="15" hidden="false" customHeight="false" outlineLevel="0" collapsed="false">
      <c r="A24" s="8" t="s">
        <v>42</v>
      </c>
      <c r="B24" s="8" t="n">
        <f aca="false">COUNTIF(Pipeline!H2:H201,"Otro")</f>
        <v>0</v>
      </c>
    </row>
  </sheetData>
  <conditionalFormatting sqref="F6:F8">
    <cfRule type="expression" priority="2" aboveAverage="0" equalAverage="0" bottom="0" percent="0" rank="0" text="" dxfId="5">
      <formula>F6&lt;=0</formula>
    </cfRule>
    <cfRule type="expression" priority="3" aboveAverage="0" equalAverage="0" bottom="0" percent="0" rank="0" text="" dxfId="6">
      <formula>AND(F6&gt;0,F6&lt;=3)</formula>
    </cfRule>
    <cfRule type="expression" priority="4" aboveAverage="0" equalAverage="0" bottom="0" percent="0" rank="0" text="" dxfId="7">
      <formula>F6&gt;3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2026-06-08T10:31:50Z</dcterms:created>
  <dc:creator>openpyxl</dc:creator>
  <dc:description/>
  <dc:language>en-US</dc:language>
  <cp:lastModifiedBy/>
  <dcterms:modified xsi:type="dcterms:W3CDTF">2026-06-08T10:31:50Z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