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scritos Taller 6Jun" sheetId="2" state="visible" r:id="rId4"/>
    <sheet name="Dashboard" sheetId="3" state="visible" r:id="rId5"/>
    <sheet name="BCC List (Gmail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<sst xmlns="http://schemas.openxmlformats.org/spreadsheetml/2006/main" count="421" uniqueCount="224">
  <si>
    <t xml:space="preserve">INSTRUCCIONES · EXPORTAR DE FORMSPREE → ENVIAR EMAIL</t>
  </si>
  <si>
    <t xml:space="preserve">PASO</t>
  </si>
  <si>
    <t xml:space="preserve">ACCIÓN</t>
  </si>
  <si>
    <t xml:space="preserve">1</t>
  </si>
  <si>
    <t xml:space="preserve">Andá a https://formspree.io/forms y hacé login</t>
  </si>
  <si>
    <t xml:space="preserve">2</t>
  </si>
  <si>
    <t xml:space="preserve">Click en tu form del taller</t>
  </si>
  <si>
    <t xml:space="preserve">3</t>
  </si>
  <si>
    <t xml:space="preserve">Click en la pestaña 'Submissions' (Submisiones)</t>
  </si>
  <si>
    <t xml:space="preserve">4</t>
  </si>
  <si>
    <t xml:space="preserve">Botón superior derecho: 'Export' → elegí 'CSV'</t>
  </si>
  <si>
    <t xml:space="preserve">5</t>
  </si>
  <si>
    <t xml:space="preserve">Abrí el CSV en Excel (doble click)</t>
  </si>
  <si>
    <t xml:space="preserve">6</t>
  </si>
  <si>
    <t xml:space="preserve">Copiá las columnas: nombre, email, país, nivel, razón</t>
  </si>
  <si>
    <t xml:space="preserve">7</t>
  </si>
  <si>
    <t xml:space="preserve">Pegalas en la hoja 'Inscritos Taller 6Jun' empezando en B5</t>
  </si>
  <si>
    <t xml:space="preserve">8</t>
  </si>
  <si>
    <t xml:space="preserve">Revisá la pestaña 'Dashboard' para ver el total de inscritos</t>
  </si>
  <si>
    <t xml:space="preserve">9</t>
  </si>
  <si>
    <t xml:space="preserve">Andá a 'BCC List (Gmail)' y copiá la celda A4 completa</t>
  </si>
  <si>
    <t xml:space="preserve">10</t>
  </si>
  <si>
    <t xml:space="preserve">Abrí Gmail → Redactar nuevo email</t>
  </si>
  <si>
    <t xml:space="preserve">11</t>
  </si>
  <si>
    <t xml:space="preserve">En 'Para:' poné jay@academiaseul.com (TU email)</t>
  </si>
  <si>
    <t xml:space="preserve">12</t>
  </si>
  <si>
    <t xml:space="preserve">En 'CCO/BCC:' pegá los emails copiados</t>
  </si>
  <si>
    <t xml:space="preserve">13</t>
  </si>
  <si>
    <t xml:space="preserve">Asunto: pegá el del documento 'Email_Final_Plus_Mailerlite_Setup.md'</t>
  </si>
  <si>
    <t xml:space="preserve">14</t>
  </si>
  <si>
    <t xml:space="preserve">Cuerpo: pegá el texto del email del mismo documento</t>
  </si>
  <si>
    <t xml:space="preserve">15</t>
  </si>
  <si>
    <t xml:space="preserve">Antes de enviar: mandá una prueba a ti misma primero</t>
  </si>
  <si>
    <t xml:space="preserve">16</t>
  </si>
  <si>
    <t xml:space="preserve">Cuando todo se vea bien: ENVIAR</t>
  </si>
  <si>
    <t xml:space="preserve">17</t>
  </si>
  <si>
    <t xml:space="preserve">En la hoja 'Inscritos', marcá la columna 'Estado Email' como 'Enviado' para todos</t>
  </si>
  <si>
    <t xml:space="preserve">18</t>
  </si>
  <si>
    <t xml:space="preserve">Después de 24h, revisá el dashboard para ver respuestas</t>
  </si>
  <si>
    <t xml:space="preserve">ACADEMIA SEUL · INSCRITOS TALLER 6 JUNIO 2026</t>
  </si>
  <si>
    <t xml:space="preserve">Pega aquí los inscritos exportados de Formspree. Usa la columna 'Estado Email' para trackear.</t>
  </si>
  <si>
    <t xml:space="preserve">#</t>
  </si>
  <si>
    <t xml:space="preserve">Nombre</t>
  </si>
  <si>
    <t xml:space="preserve">Email</t>
  </si>
  <si>
    <t xml:space="preserve">País</t>
  </si>
  <si>
    <t xml:space="preserve">Nivel Coreano</t>
  </si>
  <si>
    <t xml:space="preserve">Razón / Comentario</t>
  </si>
  <si>
    <t xml:space="preserve">Fecha Inscripción</t>
  </si>
  <si>
    <t xml:space="preserve">Estado Email</t>
  </si>
  <si>
    <t xml:space="preserve">Notas</t>
  </si>
  <si>
    <t xml:space="preserve">María Elisa Alvarez</t>
  </si>
  <si>
    <t xml:space="preserve">mariaelisa1967@gmail.com</t>
  </si>
  <si>
    <t xml:space="preserve">Venezuela</t>
  </si>
  <si>
    <t xml:space="preserve">Hangul básico</t>
  </si>
  <si>
    <t xml:space="preserve">Viaje a Corea ️ | Edad 55+</t>
  </si>
  <si>
    <t xml:space="preserve">2026-05-30</t>
  </si>
  <si>
    <t xml:space="preserve">Pendiente</t>
  </si>
  <si>
    <t xml:space="preserve">Paula Castellón</t>
  </si>
  <si>
    <t xml:space="preserve">paulinas.boutique75@gmail.com</t>
  </si>
  <si>
    <t xml:space="preserve">Nicaragua</t>
  </si>
  <si>
    <t xml:space="preserve">Cultura coreana en general | Edad 45 - 54</t>
  </si>
  <si>
    <t xml:space="preserve">2026-05-29</t>
  </si>
  <si>
    <t xml:space="preserve">Constanza</t>
  </si>
  <si>
    <t xml:space="preserve">constanzapaulette.castro@gmail.com</t>
  </si>
  <si>
    <t xml:space="preserve">Chile</t>
  </si>
  <si>
    <t xml:space="preserve">K-pop/K-drama</t>
  </si>
  <si>
    <t xml:space="preserve">K-pop | Edad 35 - 44</t>
  </si>
  <si>
    <t xml:space="preserve">Jessica</t>
  </si>
  <si>
    <t xml:space="preserve">jessica.alcayagao@gmail.com</t>
  </si>
  <si>
    <t xml:space="preserve">Cero</t>
  </si>
  <si>
    <t xml:space="preserve">Por curiosidad / hobby | Edad 55+</t>
  </si>
  <si>
    <t xml:space="preserve">Gabriela</t>
  </si>
  <si>
    <t xml:space="preserve">gpb7124@live.com.mx</t>
  </si>
  <si>
    <t xml:space="preserve">México</t>
  </si>
  <si>
    <t xml:space="preserve">K-pop | Edad 55+</t>
  </si>
  <si>
    <t xml:space="preserve">Veronica</t>
  </si>
  <si>
    <t xml:space="preserve">veronik3340@gmail.com</t>
  </si>
  <si>
    <t xml:space="preserve">Argentina</t>
  </si>
  <si>
    <t xml:space="preserve">Viaje a Corea ️ | Edad 45 - 54</t>
  </si>
  <si>
    <t xml:space="preserve">Sonia</t>
  </si>
  <si>
    <t xml:space="preserve">sonychas72@gmail.com</t>
  </si>
  <si>
    <t xml:space="preserve">Delia</t>
  </si>
  <si>
    <t xml:space="preserve">elisard2514@gmail.com</t>
  </si>
  <si>
    <t xml:space="preserve">Trabajo o negocios | Edad 55+</t>
  </si>
  <si>
    <t xml:space="preserve">gabrielafiumarelli@gmail.com</t>
  </si>
  <si>
    <t xml:space="preserve">Trabajo o negocios | Edad 45 - 54</t>
  </si>
  <si>
    <t xml:space="preserve">Alejandro</t>
  </si>
  <si>
    <t xml:space="preserve">444fegugoga@gmail.com</t>
  </si>
  <si>
    <t xml:space="preserve">Cultura coreana en general | Edad 35 - 44</t>
  </si>
  <si>
    <t xml:space="preserve">victoria</t>
  </si>
  <si>
    <t xml:space="preserve">lyorgelis726@gmail.com</t>
  </si>
  <si>
    <t xml:space="preserve">Cultura coreana en general | Edad 18 - 24</t>
  </si>
  <si>
    <t xml:space="preserve">2026-05-28</t>
  </si>
  <si>
    <t xml:space="preserve">Makoke Sánchez</t>
  </si>
  <si>
    <t xml:space="preserve">sanchezmakoke@gmail.com</t>
  </si>
  <si>
    <t xml:space="preserve">🌍 Otro</t>
  </si>
  <si>
    <t xml:space="preserve">2026-05-26</t>
  </si>
  <si>
    <t xml:space="preserve">Ariana</t>
  </si>
  <si>
    <t xml:space="preserve">ariana01013@gmail.com</t>
  </si>
  <si>
    <t xml:space="preserve">Perú</t>
  </si>
  <si>
    <t xml:space="preserve">Por curiosidad / hobby | Edad Menor de 18</t>
  </si>
  <si>
    <t xml:space="preserve">2026-05-25</t>
  </si>
  <si>
    <t xml:space="preserve">Flor</t>
  </si>
  <si>
    <t xml:space="preserve">florenciaoliva80@gmail.com</t>
  </si>
  <si>
    <t xml:space="preserve">Cecilia</t>
  </si>
  <si>
    <t xml:space="preserve">jesma21@gmail.com</t>
  </si>
  <si>
    <t xml:space="preserve">K-dramas / Netflix | Edad 35 - 44</t>
  </si>
  <si>
    <t xml:space="preserve">Rommy arreola</t>
  </si>
  <si>
    <t xml:space="preserve">rommy.an1@gmail.com</t>
  </si>
  <si>
    <t xml:space="preserve">2026-05-24</t>
  </si>
  <si>
    <t xml:space="preserve">César Jácome  Gutiérrez</t>
  </si>
  <si>
    <t xml:space="preserve">cesarin.bebe5@gmail.com</t>
  </si>
  <si>
    <t xml:space="preserve">K-dramas / Netflix | Edad 55+</t>
  </si>
  <si>
    <t xml:space="preserve">Marlyn Velazquez</t>
  </si>
  <si>
    <t xml:space="preserve">rosmarly.17679864@gmail.com</t>
  </si>
  <si>
    <t xml:space="preserve">Viaje a Corea ️ | Edad 35 - 44</t>
  </si>
  <si>
    <t xml:space="preserve">2026-05-23</t>
  </si>
  <si>
    <t xml:space="preserve">Lidia</t>
  </si>
  <si>
    <t xml:space="preserve">pinoleolidia61@gmail.com</t>
  </si>
  <si>
    <t xml:space="preserve">Cultura coreana en general</t>
  </si>
  <si>
    <t xml:space="preserve">2026-05-22</t>
  </si>
  <si>
    <t xml:space="preserve">Yarice quintero</t>
  </si>
  <si>
    <t xml:space="preserve">yaricequintero@gmail.com</t>
  </si>
  <si>
    <t xml:space="preserve">Adriana Rodriguez</t>
  </si>
  <si>
    <t xml:space="preserve">adrianacrys@gmail.com</t>
  </si>
  <si>
    <t xml:space="preserve">K-dramas / Netflix | Edad 45 - 54</t>
  </si>
  <si>
    <t xml:space="preserve">Mazziel castellano</t>
  </si>
  <si>
    <t xml:space="preserve">mazzielcastellano91@gmail.com</t>
  </si>
  <si>
    <t xml:space="preserve">Por curiosidad / hobby | Edad 25 - 34</t>
  </si>
  <si>
    <t xml:space="preserve">Dora Loaiza</t>
  </si>
  <si>
    <t xml:space="preserve">dorital12@hotmail.com</t>
  </si>
  <si>
    <t xml:space="preserve">Ecuador</t>
  </si>
  <si>
    <t xml:space="preserve">Cultura coreana en general | Edad 55+</t>
  </si>
  <si>
    <t xml:space="preserve">Consuelo Aguilar</t>
  </si>
  <si>
    <t xml:space="preserve">consueloaguilar321@gmail.com</t>
  </si>
  <si>
    <t xml:space="preserve">Honduras</t>
  </si>
  <si>
    <t xml:space="preserve">2026-05-21</t>
  </si>
  <si>
    <t xml:space="preserve">Andrea</t>
  </si>
  <si>
    <t xml:space="preserve">andrea.rojas.abarzua@hotmail.com</t>
  </si>
  <si>
    <t xml:space="preserve">Alejandra Araya</t>
  </si>
  <si>
    <t xml:space="preserve">amarayar@gmail.com</t>
  </si>
  <si>
    <t xml:space="preserve">Lucia</t>
  </si>
  <si>
    <t xml:space="preserve">lucia.hangug@gmail.com</t>
  </si>
  <si>
    <t xml:space="preserve">A1-A2</t>
  </si>
  <si>
    <t xml:space="preserve">Sara Rodriguez</t>
  </si>
  <si>
    <t xml:space="preserve">sandrea.rodriguezc.sr@gmail.com</t>
  </si>
  <si>
    <t xml:space="preserve">2026-05-20</t>
  </si>
  <si>
    <t xml:space="preserve">Rosibel</t>
  </si>
  <si>
    <t xml:space="preserve">rosiperez2007@gmail.com</t>
  </si>
  <si>
    <t xml:space="preserve">Ingrid Rodriguez</t>
  </si>
  <si>
    <t xml:space="preserve">ingrid.rodriguez.labra@gmail.com</t>
  </si>
  <si>
    <t xml:space="preserve">Norma</t>
  </si>
  <si>
    <t xml:space="preserve">nomyguilleng@hotmail.com</t>
  </si>
  <si>
    <t xml:space="preserve">Yenny Colina Reyes</t>
  </si>
  <si>
    <t xml:space="preserve">yennycolina67@gmail.com</t>
  </si>
  <si>
    <t xml:space="preserve">Jessica carmona</t>
  </si>
  <si>
    <t xml:space="preserve">yexikarmona@hotmail.com</t>
  </si>
  <si>
    <t xml:space="preserve">2026-05-18</t>
  </si>
  <si>
    <t xml:space="preserve">ELSA NOEM RODRIGUEZ</t>
  </si>
  <si>
    <t xml:space="preserve">elsitajesus2000@gmail.com</t>
  </si>
  <si>
    <t xml:space="preserve">Luz</t>
  </si>
  <si>
    <t xml:space="preserve">luzlinarojasch@gmail.com</t>
  </si>
  <si>
    <t xml:space="preserve">Rodrigo Gálvez</t>
  </si>
  <si>
    <t xml:space="preserve">rodrigo.galvez@seasmin.com</t>
  </si>
  <si>
    <t xml:space="preserve">Coreano General | 💬 Me gustaría aprender coreano de forma online ,ya que vivo en region | 📞 935263101</t>
  </si>
  <si>
    <t xml:space="preserve">2026-05-16</t>
  </si>
  <si>
    <t xml:space="preserve">Alejandra</t>
  </si>
  <si>
    <t xml:space="preserve">alee7slzr@gmail.com</t>
  </si>
  <si>
    <t xml:space="preserve">Viaje a Corea ️ | Edad 25 - 34</t>
  </si>
  <si>
    <t xml:space="preserve">2026-05-12</t>
  </si>
  <si>
    <t xml:space="preserve">Gabriela Fonseca</t>
  </si>
  <si>
    <t xml:space="preserve">gabrielafmonasterio@gmail.com</t>
  </si>
  <si>
    <t xml:space="preserve">2026-05-11</t>
  </si>
  <si>
    <t xml:space="preserve">Yethsy Ruiz</t>
  </si>
  <si>
    <t xml:space="preserve">yethsyruiz@gmail.com</t>
  </si>
  <si>
    <t xml:space="preserve">2026-05-09</t>
  </si>
  <si>
    <t xml:space="preserve">María Mendez Mora</t>
  </si>
  <si>
    <t xml:space="preserve">mariananatalirodriguezmendez@gmail.com</t>
  </si>
  <si>
    <t xml:space="preserve">2026-05-08</t>
  </si>
  <si>
    <t xml:space="preserve">Milagros Diaz</t>
  </si>
  <si>
    <t xml:space="preserve">diazmilagros@yahoo.es</t>
  </si>
  <si>
    <t xml:space="preserve">2026-05-05</t>
  </si>
  <si>
    <t xml:space="preserve">Iliana perez</t>
  </si>
  <si>
    <t xml:space="preserve">daisyalanna.20@gmail.com</t>
  </si>
  <si>
    <t xml:space="preserve">K-pop | Edad 25 - 34</t>
  </si>
  <si>
    <t xml:space="preserve">MERY García</t>
  </si>
  <si>
    <t xml:space="preserve">merycataleya438@gmail.com</t>
  </si>
  <si>
    <t xml:space="preserve">Fabritzia Morillo</t>
  </si>
  <si>
    <t xml:space="preserve">fabriellysh89@gmail.com</t>
  </si>
  <si>
    <t xml:space="preserve">K-dramas / Netflix | Edad Menor de 18</t>
  </si>
  <si>
    <t xml:space="preserve">Hillary Sojo</t>
  </si>
  <si>
    <t xml:space="preserve">hillaryparissojolanda@gmail.com</t>
  </si>
  <si>
    <t xml:space="preserve">Cultura coreana en general | Edad Menor de 18</t>
  </si>
  <si>
    <t xml:space="preserve">Daniela amundarain</t>
  </si>
  <si>
    <t xml:space="preserve">danieka35@gmail.com</t>
  </si>
  <si>
    <t xml:space="preserve">perezruizrosibel@gmail.com</t>
  </si>
  <si>
    <t xml:space="preserve">Raiza Ramirez</t>
  </si>
  <si>
    <t xml:space="preserve">raizaramirez1234@gmail.com</t>
  </si>
  <si>
    <t xml:space="preserve">Cultura coreana en general | Edad 25 - 34</t>
  </si>
  <si>
    <t xml:space="preserve">Yelith</t>
  </si>
  <si>
    <t xml:space="preserve">lajsysyelis@gmail.com</t>
  </si>
  <si>
    <t xml:space="preserve">Daiana Suk</t>
  </si>
  <si>
    <t xml:space="preserve">sukdaiana@hotmail.com</t>
  </si>
  <si>
    <t xml:space="preserve">Por curiosidad / hobby | Edad 35 - 44</t>
  </si>
  <si>
    <t xml:space="preserve">DASHBOARD · INSCRITOS TALLER 6 JUNIO</t>
  </si>
  <si>
    <t xml:space="preserve">Métrica</t>
  </si>
  <si>
    <t xml:space="preserve">Valor</t>
  </si>
  <si>
    <t xml:space="preserve">Total Inscritos</t>
  </si>
  <si>
    <t xml:space="preserve">Emails Enviados</t>
  </si>
  <si>
    <t xml:space="preserve">Emails Pendientes</t>
  </si>
  <si>
    <t xml:space="preserve">Rebotaron</t>
  </si>
  <si>
    <t xml:space="preserve">Respondieron</t>
  </si>
  <si>
    <t xml:space="preserve">Inscribieron a Nivel 1 ($89)</t>
  </si>
  <si>
    <t xml:space="preserve">Tasa Conversión a Nivel 1</t>
  </si>
  <si>
    <t xml:space="preserve">Revenue Estimado USD</t>
  </si>
  <si>
    <t xml:space="preserve">Top Países</t>
  </si>
  <si>
    <t xml:space="preserve">Cantidad</t>
  </si>
  <si>
    <t xml:space="preserve">Colombia</t>
  </si>
  <si>
    <t xml:space="preserve">España</t>
  </si>
  <si>
    <t xml:space="preserve">LISTA BCC · PARA PEGAR EN GMAIL</t>
  </si>
  <si>
    <t xml:space="preserve">Copia la celda A4 (todos los emails separados por coma) y pégala en el campo BCC/CCO de Gmail</t>
  </si>
  <si>
    <t xml:space="preserve">Emails (BCC ready)</t>
  </si>
  <si>
    <t xml:space="preserve">⚠️ IMPORTANTE: Gmail limita a 500 destinatarios por email. Si tenés más de 500 inscritos, divídelos en 2 envíos.</t>
  </si>
  <si>
    <t xml:space="preserve">💡 TIP: Una vez pegados los emails en BCC, asegúrate que el campo 'Para:' tenga TU PROPIO email.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</si>
</sst>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D2EE8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3D2EE8"/>
      <name val="Arial"/>
      <family val="0"/>
      <charset val="1"/>
    </font>
    <font>
      <i val="true"/>
      <sz val="10"/>
      <color rgb="FFCC0000"/>
      <name val="Arial"/>
      <family val="0"/>
      <charset val="1"/>
    </font>
    <font>
      <i val="true"/>
      <sz val="10"/>
      <color rgb="FF0066C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D2EE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6D8D9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6D8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D2EE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80"/>
  </cols>
  <sheetData>
    <row r="1" customFormat="false" ht="30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</row>
    <row r="5" customFormat="false" ht="15" hidden="false" customHeight="true" outlineLevel="0" collapsed="false">
      <c r="A5" s="5" t="s">
        <v>5</v>
      </c>
      <c r="B5" s="6" t="s">
        <v>6</v>
      </c>
    </row>
    <row r="6" customFormat="false" ht="15" hidden="false" customHeight="true" outlineLevel="0" collapsed="false">
      <c r="A6" s="5" t="s">
        <v>7</v>
      </c>
      <c r="B6" s="6" t="s">
        <v>8</v>
      </c>
    </row>
    <row r="7" customFormat="false" ht="15" hidden="false" customHeight="true" outlineLevel="0" collapsed="false">
      <c r="A7" s="5" t="s">
        <v>9</v>
      </c>
      <c r="B7" s="6" t="s">
        <v>10</v>
      </c>
    </row>
    <row r="8" customFormat="false" ht="15" hidden="false" customHeight="true" outlineLevel="0" collapsed="false">
      <c r="A8" s="5" t="s">
        <v>11</v>
      </c>
      <c r="B8" s="6" t="s">
        <v>12</v>
      </c>
    </row>
    <row r="9" customFormat="false" ht="15" hidden="false" customHeight="true" outlineLevel="0" collapsed="false">
      <c r="A9" s="5" t="s">
        <v>13</v>
      </c>
      <c r="B9" s="6" t="s">
        <v>14</v>
      </c>
    </row>
    <row r="10" customFormat="false" ht="15" hidden="false" customHeight="true" outlineLevel="0" collapsed="false">
      <c r="A10" s="5" t="s">
        <v>15</v>
      </c>
      <c r="B10" s="6" t="s">
        <v>16</v>
      </c>
    </row>
    <row r="11" customFormat="false" ht="15" hidden="false" customHeight="true" outlineLevel="0" collapsed="false">
      <c r="A11" s="5" t="s">
        <v>17</v>
      </c>
      <c r="B11" s="6" t="s">
        <v>18</v>
      </c>
    </row>
    <row r="12" customFormat="false" ht="15" hidden="false" customHeight="true" outlineLevel="0" collapsed="false">
      <c r="A12" s="5" t="s">
        <v>19</v>
      </c>
      <c r="B12" s="6" t="s">
        <v>20</v>
      </c>
    </row>
    <row r="13" customFormat="false" ht="15" hidden="false" customHeight="true" outlineLevel="0" collapsed="false">
      <c r="A13" s="5" t="s">
        <v>21</v>
      </c>
      <c r="B13" s="6" t="s">
        <v>22</v>
      </c>
    </row>
    <row r="14" customFormat="false" ht="15" hidden="false" customHeight="true" outlineLevel="0" collapsed="false">
      <c r="A14" s="5" t="s">
        <v>23</v>
      </c>
      <c r="B14" s="6" t="s">
        <v>24</v>
      </c>
    </row>
    <row r="15" customFormat="false" ht="15" hidden="false" customHeight="true" outlineLevel="0" collapsed="false">
      <c r="A15" s="5" t="s">
        <v>25</v>
      </c>
      <c r="B15" s="6" t="s">
        <v>26</v>
      </c>
    </row>
    <row r="16" customFormat="false" ht="15" hidden="false" customHeight="true" outlineLevel="0" collapsed="false">
      <c r="A16" s="5" t="s">
        <v>27</v>
      </c>
      <c r="B16" s="6" t="s">
        <v>28</v>
      </c>
    </row>
    <row r="17" customFormat="false" ht="15" hidden="false" customHeight="true" outlineLevel="0" collapsed="false">
      <c r="A17" s="5" t="s">
        <v>29</v>
      </c>
      <c r="B17" s="6" t="s">
        <v>30</v>
      </c>
    </row>
    <row r="18" customFormat="false" ht="15" hidden="false" customHeight="true" outlineLevel="0" collapsed="false">
      <c r="A18" s="5" t="s">
        <v>31</v>
      </c>
      <c r="B18" s="6" t="s">
        <v>32</v>
      </c>
    </row>
    <row r="19" customFormat="false" ht="15" hidden="false" customHeight="true" outlineLevel="0" collapsed="false">
      <c r="A19" s="5" t="s">
        <v>33</v>
      </c>
      <c r="B19" s="6" t="s">
        <v>34</v>
      </c>
    </row>
    <row r="20" customFormat="false" ht="15" hidden="false" customHeight="true" outlineLevel="0" collapsed="false">
      <c r="A20" s="5" t="s">
        <v>35</v>
      </c>
      <c r="B20" s="6" t="s">
        <v>36</v>
      </c>
    </row>
    <row r="21" customFormat="false" ht="15" hidden="false" customHeight="true" outlineLevel="0" collapsed="false">
      <c r="A21" s="5" t="s">
        <v>37</v>
      </c>
      <c r="B21" s="6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5"/>
    <col collapsed="false" customWidth="true" hidden="false" outlineLevel="0" max="3" min="3" style="1" width="32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40"/>
    <col collapsed="false" customWidth="true" hidden="false" outlineLevel="0" max="8" min="7" style="1" width="18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7" t="s">
        <v>40</v>
      </c>
      <c r="B2" s="7"/>
      <c r="C2" s="7"/>
      <c r="D2" s="7"/>
      <c r="E2" s="7"/>
      <c r="F2" s="7"/>
      <c r="G2" s="7"/>
      <c r="H2" s="7"/>
      <c r="I2" s="7"/>
    </row>
    <row r="4" customFormat="false" ht="30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</row>
    <row r="5" customFormat="false" ht="15" hidden="false" customHeight="true" outlineLevel="0" collapsed="false">
      <c r="A5" s="8" t="n">
        <f aca="false">ROW()-4</f>
        <v>1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/>
    </row>
    <row r="6" customFormat="false" ht="15" hidden="false" customHeight="true" outlineLevel="0" collapsed="false">
      <c r="A6" s="8" t="n">
        <f aca="false">ROW()-4</f>
        <v>2</v>
      </c>
      <c r="B6" s="8" t="s">
        <v>57</v>
      </c>
      <c r="C6" s="8" t="s">
        <v>58</v>
      </c>
      <c r="D6" s="8" t="s">
        <v>59</v>
      </c>
      <c r="E6" s="8"/>
      <c r="F6" s="8" t="s">
        <v>60</v>
      </c>
      <c r="G6" s="8" t="s">
        <v>61</v>
      </c>
      <c r="H6" s="8" t="s">
        <v>56</v>
      </c>
      <c r="I6" s="8"/>
    </row>
    <row r="7" customFormat="false" ht="15" hidden="false" customHeight="true" outlineLevel="0" collapsed="false">
      <c r="A7" s="8" t="n">
        <f aca="false">ROW()-4</f>
        <v>3</v>
      </c>
      <c r="B7" s="8" t="s">
        <v>62</v>
      </c>
      <c r="C7" s="8" t="s">
        <v>63</v>
      </c>
      <c r="D7" s="8" t="s">
        <v>64</v>
      </c>
      <c r="E7" s="8" t="s">
        <v>65</v>
      </c>
      <c r="F7" s="8" t="s">
        <v>66</v>
      </c>
      <c r="G7" s="8" t="s">
        <v>61</v>
      </c>
      <c r="H7" s="8" t="s">
        <v>56</v>
      </c>
      <c r="I7" s="8"/>
    </row>
    <row r="8" customFormat="false" ht="15" hidden="false" customHeight="true" outlineLevel="0" collapsed="false">
      <c r="A8" s="8" t="n">
        <f aca="false">ROW()-4</f>
        <v>4</v>
      </c>
      <c r="B8" s="8" t="s">
        <v>67</v>
      </c>
      <c r="C8" s="8" t="s">
        <v>68</v>
      </c>
      <c r="D8" s="8" t="s">
        <v>64</v>
      </c>
      <c r="E8" s="8" t="s">
        <v>69</v>
      </c>
      <c r="F8" s="8" t="s">
        <v>70</v>
      </c>
      <c r="G8" s="8" t="s">
        <v>61</v>
      </c>
      <c r="H8" s="8" t="s">
        <v>56</v>
      </c>
      <c r="I8" s="8"/>
    </row>
    <row r="9" customFormat="false" ht="15" hidden="false" customHeight="true" outlineLevel="0" collapsed="false">
      <c r="A9" s="8" t="n">
        <f aca="false">ROW()-4</f>
        <v>5</v>
      </c>
      <c r="B9" s="8" t="s">
        <v>71</v>
      </c>
      <c r="C9" s="8" t="s">
        <v>72</v>
      </c>
      <c r="D9" s="8" t="s">
        <v>73</v>
      </c>
      <c r="E9" s="8" t="s">
        <v>53</v>
      </c>
      <c r="F9" s="8" t="s">
        <v>74</v>
      </c>
      <c r="G9" s="8" t="s">
        <v>61</v>
      </c>
      <c r="H9" s="8" t="s">
        <v>56</v>
      </c>
      <c r="I9" s="8"/>
    </row>
    <row r="10" customFormat="false" ht="15" hidden="false" customHeight="true" outlineLevel="0" collapsed="false">
      <c r="A10" s="8" t="n">
        <f aca="false">ROW()-4</f>
        <v>6</v>
      </c>
      <c r="B10" s="8" t="s">
        <v>75</v>
      </c>
      <c r="C10" s="8" t="s">
        <v>76</v>
      </c>
      <c r="D10" s="8" t="s">
        <v>77</v>
      </c>
      <c r="E10" s="8" t="s">
        <v>65</v>
      </c>
      <c r="F10" s="8" t="s">
        <v>78</v>
      </c>
      <c r="G10" s="8" t="s">
        <v>61</v>
      </c>
      <c r="H10" s="8" t="s">
        <v>56</v>
      </c>
      <c r="I10" s="8"/>
    </row>
    <row r="11" customFormat="false" ht="15" hidden="false" customHeight="true" outlineLevel="0" collapsed="false">
      <c r="A11" s="8" t="n">
        <f aca="false">ROW()-4</f>
        <v>7</v>
      </c>
      <c r="B11" s="8" t="s">
        <v>79</v>
      </c>
      <c r="C11" s="8" t="s">
        <v>80</v>
      </c>
      <c r="D11" s="8"/>
      <c r="E11" s="8" t="s">
        <v>65</v>
      </c>
      <c r="F11" s="8" t="s">
        <v>78</v>
      </c>
      <c r="G11" s="8" t="s">
        <v>61</v>
      </c>
      <c r="H11" s="8" t="s">
        <v>56</v>
      </c>
      <c r="I11" s="8"/>
    </row>
    <row r="12" customFormat="false" ht="15" hidden="false" customHeight="true" outlineLevel="0" collapsed="false">
      <c r="A12" s="8" t="n">
        <f aca="false">ROW()-4</f>
        <v>8</v>
      </c>
      <c r="B12" s="8" t="s">
        <v>81</v>
      </c>
      <c r="C12" s="8" t="s">
        <v>82</v>
      </c>
      <c r="D12" s="8" t="s">
        <v>73</v>
      </c>
      <c r="E12" s="8" t="s">
        <v>69</v>
      </c>
      <c r="F12" s="8" t="s">
        <v>83</v>
      </c>
      <c r="G12" s="8" t="s">
        <v>61</v>
      </c>
      <c r="H12" s="8" t="s">
        <v>56</v>
      </c>
      <c r="I12" s="8"/>
    </row>
    <row r="13" customFormat="false" ht="15" hidden="false" customHeight="true" outlineLevel="0" collapsed="false">
      <c r="A13" s="8" t="n">
        <f aca="false">ROW()-4</f>
        <v>9</v>
      </c>
      <c r="B13" s="8" t="s">
        <v>71</v>
      </c>
      <c r="C13" s="8" t="s">
        <v>84</v>
      </c>
      <c r="D13" s="8" t="s">
        <v>77</v>
      </c>
      <c r="E13" s="8" t="s">
        <v>53</v>
      </c>
      <c r="F13" s="8" t="s">
        <v>85</v>
      </c>
      <c r="G13" s="8" t="s">
        <v>61</v>
      </c>
      <c r="H13" s="8" t="s">
        <v>56</v>
      </c>
      <c r="I13" s="8"/>
    </row>
    <row r="14" customFormat="false" ht="15" hidden="false" customHeight="true" outlineLevel="0" collapsed="false">
      <c r="A14" s="8" t="n">
        <f aca="false">ROW()-4</f>
        <v>10</v>
      </c>
      <c r="B14" s="8" t="s">
        <v>86</v>
      </c>
      <c r="C14" s="8" t="s">
        <v>87</v>
      </c>
      <c r="D14" s="8" t="s">
        <v>64</v>
      </c>
      <c r="E14" s="8" t="s">
        <v>69</v>
      </c>
      <c r="F14" s="8" t="s">
        <v>88</v>
      </c>
      <c r="G14" s="8" t="s">
        <v>61</v>
      </c>
      <c r="H14" s="8" t="s">
        <v>56</v>
      </c>
      <c r="I14" s="8"/>
    </row>
    <row r="15" customFormat="false" ht="15" hidden="false" customHeight="true" outlineLevel="0" collapsed="false">
      <c r="A15" s="8" t="n">
        <f aca="false">ROW()-4</f>
        <v>11</v>
      </c>
      <c r="B15" s="8" t="s">
        <v>89</v>
      </c>
      <c r="C15" s="8" t="s">
        <v>90</v>
      </c>
      <c r="D15" s="8" t="s">
        <v>64</v>
      </c>
      <c r="E15" s="8" t="s">
        <v>65</v>
      </c>
      <c r="F15" s="8" t="s">
        <v>91</v>
      </c>
      <c r="G15" s="8" t="s">
        <v>92</v>
      </c>
      <c r="H15" s="8" t="s">
        <v>56</v>
      </c>
      <c r="I15" s="8"/>
    </row>
    <row r="16" customFormat="false" ht="15" hidden="false" customHeight="true" outlineLevel="0" collapsed="false">
      <c r="A16" s="8" t="n">
        <f aca="false">ROW()-4</f>
        <v>12</v>
      </c>
      <c r="B16" s="8" t="s">
        <v>93</v>
      </c>
      <c r="C16" s="8" t="s">
        <v>94</v>
      </c>
      <c r="D16" s="8" t="s">
        <v>95</v>
      </c>
      <c r="E16" s="8" t="s">
        <v>53</v>
      </c>
      <c r="F16" s="8" t="s">
        <v>70</v>
      </c>
      <c r="G16" s="8" t="s">
        <v>96</v>
      </c>
      <c r="H16" s="8" t="s">
        <v>56</v>
      </c>
      <c r="I16" s="8"/>
    </row>
    <row r="17" customFormat="false" ht="15" hidden="false" customHeight="true" outlineLevel="0" collapsed="false">
      <c r="A17" s="8" t="n">
        <f aca="false">ROW()-4</f>
        <v>13</v>
      </c>
      <c r="B17" s="8" t="s">
        <v>97</v>
      </c>
      <c r="C17" s="8" t="s">
        <v>98</v>
      </c>
      <c r="D17" s="8" t="s">
        <v>99</v>
      </c>
      <c r="E17" s="8" t="s">
        <v>69</v>
      </c>
      <c r="F17" s="8" t="s">
        <v>100</v>
      </c>
      <c r="G17" s="8" t="s">
        <v>101</v>
      </c>
      <c r="H17" s="8" t="s">
        <v>56</v>
      </c>
      <c r="I17" s="8"/>
    </row>
    <row r="18" customFormat="false" ht="15" hidden="false" customHeight="true" outlineLevel="0" collapsed="false">
      <c r="A18" s="8" t="n">
        <f aca="false">ROW()-4</f>
        <v>14</v>
      </c>
      <c r="B18" s="8" t="s">
        <v>102</v>
      </c>
      <c r="C18" s="8" t="s">
        <v>103</v>
      </c>
      <c r="D18" s="8" t="s">
        <v>77</v>
      </c>
      <c r="E18" s="8" t="s">
        <v>69</v>
      </c>
      <c r="F18" s="8" t="s">
        <v>85</v>
      </c>
      <c r="G18" s="8" t="s">
        <v>101</v>
      </c>
      <c r="H18" s="8" t="s">
        <v>56</v>
      </c>
      <c r="I18" s="8"/>
    </row>
    <row r="19" customFormat="false" ht="15" hidden="false" customHeight="true" outlineLevel="0" collapsed="false">
      <c r="A19" s="8" t="n">
        <f aca="false">ROW()-4</f>
        <v>15</v>
      </c>
      <c r="B19" s="8" t="s">
        <v>104</v>
      </c>
      <c r="C19" s="8" t="s">
        <v>105</v>
      </c>
      <c r="D19" s="8" t="s">
        <v>64</v>
      </c>
      <c r="E19" s="8" t="s">
        <v>69</v>
      </c>
      <c r="F19" s="8" t="s">
        <v>106</v>
      </c>
      <c r="G19" s="8" t="s">
        <v>101</v>
      </c>
      <c r="H19" s="8" t="s">
        <v>56</v>
      </c>
      <c r="I19" s="8"/>
    </row>
    <row r="20" customFormat="false" ht="15" hidden="false" customHeight="true" outlineLevel="0" collapsed="false">
      <c r="A20" s="8" t="n">
        <f aca="false">ROW()-4</f>
        <v>16</v>
      </c>
      <c r="B20" s="8" t="s">
        <v>107</v>
      </c>
      <c r="C20" s="8" t="s">
        <v>108</v>
      </c>
      <c r="D20" s="8" t="s">
        <v>73</v>
      </c>
      <c r="E20" s="8" t="s">
        <v>53</v>
      </c>
      <c r="F20" s="8" t="s">
        <v>70</v>
      </c>
      <c r="G20" s="8" t="s">
        <v>109</v>
      </c>
      <c r="H20" s="8" t="s">
        <v>56</v>
      </c>
      <c r="I20" s="8"/>
    </row>
    <row r="21" customFormat="false" ht="15" hidden="false" customHeight="true" outlineLevel="0" collapsed="false">
      <c r="A21" s="8" t="n">
        <f aca="false">ROW()-4</f>
        <v>17</v>
      </c>
      <c r="B21" s="8" t="s">
        <v>110</v>
      </c>
      <c r="C21" s="8" t="s">
        <v>111</v>
      </c>
      <c r="D21" s="8"/>
      <c r="E21" s="8" t="s">
        <v>69</v>
      </c>
      <c r="F21" s="8" t="s">
        <v>112</v>
      </c>
      <c r="G21" s="8" t="s">
        <v>109</v>
      </c>
      <c r="H21" s="8" t="s">
        <v>56</v>
      </c>
      <c r="I21" s="8"/>
    </row>
    <row r="22" customFormat="false" ht="15" hidden="false" customHeight="true" outlineLevel="0" collapsed="false">
      <c r="A22" s="8" t="n">
        <f aca="false">ROW()-4</f>
        <v>18</v>
      </c>
      <c r="B22" s="8" t="s">
        <v>113</v>
      </c>
      <c r="C22" s="8" t="s">
        <v>114</v>
      </c>
      <c r="D22" s="8" t="s">
        <v>52</v>
      </c>
      <c r="E22" s="8" t="s">
        <v>65</v>
      </c>
      <c r="F22" s="8" t="s">
        <v>115</v>
      </c>
      <c r="G22" s="8" t="s">
        <v>116</v>
      </c>
      <c r="H22" s="8" t="s">
        <v>56</v>
      </c>
      <c r="I22" s="8"/>
    </row>
    <row r="23" customFormat="false" ht="15" hidden="false" customHeight="true" outlineLevel="0" collapsed="false">
      <c r="A23" s="8" t="n">
        <f aca="false">ROW()-4</f>
        <v>19</v>
      </c>
      <c r="B23" s="8" t="s">
        <v>117</v>
      </c>
      <c r="C23" s="8" t="s">
        <v>118</v>
      </c>
      <c r="D23" s="8" t="s">
        <v>64</v>
      </c>
      <c r="E23" s="8" t="s">
        <v>69</v>
      </c>
      <c r="F23" s="8" t="s">
        <v>119</v>
      </c>
      <c r="G23" s="8" t="s">
        <v>120</v>
      </c>
      <c r="H23" s="8" t="s">
        <v>56</v>
      </c>
      <c r="I23" s="8"/>
    </row>
    <row r="24" customFormat="false" ht="15" hidden="false" customHeight="true" outlineLevel="0" collapsed="false">
      <c r="A24" s="8" t="n">
        <f aca="false">ROW()-4</f>
        <v>20</v>
      </c>
      <c r="B24" s="8" t="s">
        <v>121</v>
      </c>
      <c r="C24" s="8" t="s">
        <v>122</v>
      </c>
      <c r="D24" s="8" t="s">
        <v>64</v>
      </c>
      <c r="E24" s="8" t="s">
        <v>65</v>
      </c>
      <c r="F24" s="8" t="s">
        <v>88</v>
      </c>
      <c r="G24" s="8" t="s">
        <v>120</v>
      </c>
      <c r="H24" s="8" t="s">
        <v>56</v>
      </c>
      <c r="I24" s="8"/>
    </row>
    <row r="25" customFormat="false" ht="15" hidden="false" customHeight="true" outlineLevel="0" collapsed="false">
      <c r="A25" s="8" t="n">
        <f aca="false">ROW()-4</f>
        <v>21</v>
      </c>
      <c r="B25" s="8" t="s">
        <v>123</v>
      </c>
      <c r="C25" s="8" t="s">
        <v>124</v>
      </c>
      <c r="D25" s="8"/>
      <c r="E25" s="8" t="s">
        <v>53</v>
      </c>
      <c r="F25" s="8" t="s">
        <v>125</v>
      </c>
      <c r="G25" s="8" t="s">
        <v>120</v>
      </c>
      <c r="H25" s="8" t="s">
        <v>56</v>
      </c>
      <c r="I25" s="8"/>
    </row>
    <row r="26" customFormat="false" ht="15" hidden="false" customHeight="true" outlineLevel="0" collapsed="false">
      <c r="A26" s="8" t="n">
        <f aca="false">ROW()-4</f>
        <v>22</v>
      </c>
      <c r="B26" s="8" t="s">
        <v>126</v>
      </c>
      <c r="C26" s="8" t="s">
        <v>127</v>
      </c>
      <c r="D26" s="8" t="s">
        <v>52</v>
      </c>
      <c r="E26" s="8" t="s">
        <v>65</v>
      </c>
      <c r="F26" s="8" t="s">
        <v>128</v>
      </c>
      <c r="G26" s="8" t="s">
        <v>120</v>
      </c>
      <c r="H26" s="8" t="s">
        <v>56</v>
      </c>
      <c r="I26" s="8"/>
    </row>
    <row r="27" customFormat="false" ht="15" hidden="false" customHeight="true" outlineLevel="0" collapsed="false">
      <c r="A27" s="8" t="n">
        <f aca="false">ROW()-4</f>
        <v>23</v>
      </c>
      <c r="B27" s="8" t="s">
        <v>129</v>
      </c>
      <c r="C27" s="8" t="s">
        <v>130</v>
      </c>
      <c r="D27" s="8" t="s">
        <v>131</v>
      </c>
      <c r="E27" s="8" t="s">
        <v>53</v>
      </c>
      <c r="F27" s="8" t="s">
        <v>132</v>
      </c>
      <c r="G27" s="8" t="s">
        <v>120</v>
      </c>
      <c r="H27" s="8" t="s">
        <v>56</v>
      </c>
      <c r="I27" s="8"/>
    </row>
    <row r="28" customFormat="false" ht="15" hidden="false" customHeight="true" outlineLevel="0" collapsed="false">
      <c r="A28" s="8" t="n">
        <f aca="false">ROW()-4</f>
        <v>24</v>
      </c>
      <c r="B28" s="8" t="s">
        <v>133</v>
      </c>
      <c r="C28" s="8" t="s">
        <v>134</v>
      </c>
      <c r="D28" s="8" t="s">
        <v>135</v>
      </c>
      <c r="E28" s="8" t="s">
        <v>69</v>
      </c>
      <c r="F28" s="8" t="s">
        <v>132</v>
      </c>
      <c r="G28" s="8" t="s">
        <v>136</v>
      </c>
      <c r="H28" s="8" t="s">
        <v>56</v>
      </c>
      <c r="I28" s="8"/>
    </row>
    <row r="29" customFormat="false" ht="15" hidden="false" customHeight="true" outlineLevel="0" collapsed="false">
      <c r="A29" s="8" t="n">
        <f aca="false">ROW()-4</f>
        <v>25</v>
      </c>
      <c r="B29" s="8" t="s">
        <v>137</v>
      </c>
      <c r="C29" s="8" t="s">
        <v>138</v>
      </c>
      <c r="D29" s="8" t="s">
        <v>64</v>
      </c>
      <c r="E29" s="8" t="s">
        <v>69</v>
      </c>
      <c r="F29" s="8" t="s">
        <v>78</v>
      </c>
      <c r="G29" s="8" t="s">
        <v>136</v>
      </c>
      <c r="H29" s="8" t="s">
        <v>56</v>
      </c>
      <c r="I29" s="8"/>
    </row>
    <row r="30" customFormat="false" ht="15" hidden="false" customHeight="true" outlineLevel="0" collapsed="false">
      <c r="A30" s="8" t="n">
        <f aca="false">ROW()-4</f>
        <v>26</v>
      </c>
      <c r="B30" s="8" t="s">
        <v>139</v>
      </c>
      <c r="C30" s="8" t="s">
        <v>140</v>
      </c>
      <c r="D30" s="8" t="s">
        <v>64</v>
      </c>
      <c r="E30" s="8" t="s">
        <v>65</v>
      </c>
      <c r="F30" s="8" t="s">
        <v>88</v>
      </c>
      <c r="G30" s="8" t="s">
        <v>136</v>
      </c>
      <c r="H30" s="8" t="s">
        <v>56</v>
      </c>
      <c r="I30" s="8"/>
    </row>
    <row r="31" customFormat="false" ht="15" hidden="false" customHeight="true" outlineLevel="0" collapsed="false">
      <c r="A31" s="8" t="n">
        <f aca="false">ROW()-4</f>
        <v>27</v>
      </c>
      <c r="B31" s="8" t="s">
        <v>141</v>
      </c>
      <c r="C31" s="8" t="s">
        <v>142</v>
      </c>
      <c r="D31" s="8" t="s">
        <v>73</v>
      </c>
      <c r="E31" s="8" t="s">
        <v>143</v>
      </c>
      <c r="F31" s="8" t="s">
        <v>125</v>
      </c>
      <c r="G31" s="8" t="s">
        <v>136</v>
      </c>
      <c r="H31" s="8" t="s">
        <v>56</v>
      </c>
      <c r="I31" s="8"/>
    </row>
    <row r="32" customFormat="false" ht="15" hidden="false" customHeight="true" outlineLevel="0" collapsed="false">
      <c r="A32" s="8" t="n">
        <f aca="false">ROW()-4</f>
        <v>28</v>
      </c>
      <c r="B32" s="8" t="s">
        <v>144</v>
      </c>
      <c r="C32" s="8" t="s">
        <v>145</v>
      </c>
      <c r="D32" s="8" t="s">
        <v>64</v>
      </c>
      <c r="E32" s="8" t="s">
        <v>53</v>
      </c>
      <c r="F32" s="8" t="s">
        <v>85</v>
      </c>
      <c r="G32" s="8" t="s">
        <v>146</v>
      </c>
      <c r="H32" s="8" t="s">
        <v>56</v>
      </c>
      <c r="I32" s="8"/>
    </row>
    <row r="33" customFormat="false" ht="15" hidden="false" customHeight="true" outlineLevel="0" collapsed="false">
      <c r="A33" s="8" t="n">
        <f aca="false">ROW()-4</f>
        <v>29</v>
      </c>
      <c r="B33" s="8" t="s">
        <v>147</v>
      </c>
      <c r="C33" s="8" t="s">
        <v>148</v>
      </c>
      <c r="D33" s="8" t="s">
        <v>52</v>
      </c>
      <c r="E33" s="8" t="s">
        <v>65</v>
      </c>
      <c r="F33" s="8" t="s">
        <v>60</v>
      </c>
      <c r="G33" s="8" t="s">
        <v>146</v>
      </c>
      <c r="H33" s="8" t="s">
        <v>56</v>
      </c>
      <c r="I33" s="8"/>
    </row>
    <row r="34" customFormat="false" ht="15" hidden="false" customHeight="true" outlineLevel="0" collapsed="false">
      <c r="A34" s="8" t="n">
        <f aca="false">ROW()-4</f>
        <v>30</v>
      </c>
      <c r="B34" s="8" t="s">
        <v>149</v>
      </c>
      <c r="C34" s="8" t="s">
        <v>150</v>
      </c>
      <c r="D34" s="8" t="s">
        <v>64</v>
      </c>
      <c r="E34" s="8" t="s">
        <v>65</v>
      </c>
      <c r="F34" s="8" t="s">
        <v>88</v>
      </c>
      <c r="G34" s="8" t="s">
        <v>146</v>
      </c>
      <c r="H34" s="8" t="s">
        <v>56</v>
      </c>
      <c r="I34" s="8"/>
    </row>
    <row r="35" customFormat="false" ht="15" hidden="false" customHeight="true" outlineLevel="0" collapsed="false">
      <c r="A35" s="8" t="n">
        <f aca="false">ROW()-4</f>
        <v>31</v>
      </c>
      <c r="B35" s="8" t="s">
        <v>151</v>
      </c>
      <c r="C35" s="8" t="s">
        <v>152</v>
      </c>
      <c r="D35" s="8" t="s">
        <v>99</v>
      </c>
      <c r="E35" s="8" t="s">
        <v>69</v>
      </c>
      <c r="F35" s="8" t="s">
        <v>78</v>
      </c>
      <c r="G35" s="8" t="s">
        <v>146</v>
      </c>
      <c r="H35" s="8" t="s">
        <v>56</v>
      </c>
      <c r="I35" s="8"/>
    </row>
    <row r="36" customFormat="false" ht="15" hidden="false" customHeight="true" outlineLevel="0" collapsed="false">
      <c r="A36" s="8" t="n">
        <f aca="false">ROW()-4</f>
        <v>32</v>
      </c>
      <c r="B36" s="8" t="s">
        <v>153</v>
      </c>
      <c r="C36" s="8" t="s">
        <v>154</v>
      </c>
      <c r="D36" s="8" t="s">
        <v>52</v>
      </c>
      <c r="E36" s="8" t="s">
        <v>65</v>
      </c>
      <c r="F36" s="8" t="s">
        <v>88</v>
      </c>
      <c r="G36" s="8" t="s">
        <v>146</v>
      </c>
      <c r="H36" s="8" t="s">
        <v>56</v>
      </c>
      <c r="I36" s="8"/>
    </row>
    <row r="37" customFormat="false" ht="15" hidden="false" customHeight="true" outlineLevel="0" collapsed="false">
      <c r="A37" s="8" t="n">
        <f aca="false">ROW()-4</f>
        <v>33</v>
      </c>
      <c r="B37" s="8" t="s">
        <v>155</v>
      </c>
      <c r="C37" s="8" t="s">
        <v>156</v>
      </c>
      <c r="D37" s="8" t="s">
        <v>64</v>
      </c>
      <c r="E37" s="8" t="s">
        <v>65</v>
      </c>
      <c r="F37" s="8" t="s">
        <v>88</v>
      </c>
      <c r="G37" s="8" t="s">
        <v>157</v>
      </c>
      <c r="H37" s="8" t="s">
        <v>56</v>
      </c>
      <c r="I37" s="8"/>
    </row>
    <row r="38" customFormat="false" ht="15" hidden="false" customHeight="true" outlineLevel="0" collapsed="false">
      <c r="A38" s="8" t="n">
        <f aca="false">ROW()-4</f>
        <v>34</v>
      </c>
      <c r="B38" s="8" t="s">
        <v>158</v>
      </c>
      <c r="C38" s="8" t="s">
        <v>159</v>
      </c>
      <c r="D38" s="8" t="s">
        <v>77</v>
      </c>
      <c r="E38" s="8" t="s">
        <v>65</v>
      </c>
      <c r="F38" s="8" t="s">
        <v>132</v>
      </c>
      <c r="G38" s="8" t="s">
        <v>157</v>
      </c>
      <c r="H38" s="8" t="s">
        <v>56</v>
      </c>
      <c r="I38" s="8"/>
    </row>
    <row r="39" customFormat="false" ht="15" hidden="false" customHeight="true" outlineLevel="0" collapsed="false">
      <c r="A39" s="8" t="n">
        <f aca="false">ROW()-4</f>
        <v>35</v>
      </c>
      <c r="B39" s="8" t="s">
        <v>160</v>
      </c>
      <c r="C39" s="8" t="s">
        <v>161</v>
      </c>
      <c r="D39" s="8" t="s">
        <v>99</v>
      </c>
      <c r="E39" s="8" t="s">
        <v>65</v>
      </c>
      <c r="F39" s="8" t="s">
        <v>119</v>
      </c>
      <c r="G39" s="8" t="s">
        <v>157</v>
      </c>
      <c r="H39" s="8" t="s">
        <v>56</v>
      </c>
      <c r="I39" s="8"/>
    </row>
    <row r="40" customFormat="false" ht="15" hidden="false" customHeight="true" outlineLevel="0" collapsed="false">
      <c r="A40" s="8" t="n">
        <f aca="false">ROW()-4</f>
        <v>36</v>
      </c>
      <c r="B40" s="8" t="s">
        <v>162</v>
      </c>
      <c r="C40" s="8" t="s">
        <v>163</v>
      </c>
      <c r="D40" s="8"/>
      <c r="E40" s="8" t="s">
        <v>69</v>
      </c>
      <c r="F40" s="8" t="s">
        <v>164</v>
      </c>
      <c r="G40" s="8" t="s">
        <v>165</v>
      </c>
      <c r="H40" s="8" t="s">
        <v>56</v>
      </c>
      <c r="I40" s="8"/>
    </row>
    <row r="41" customFormat="false" ht="15" hidden="false" customHeight="true" outlineLevel="0" collapsed="false">
      <c r="A41" s="8" t="n">
        <f aca="false">ROW()-4</f>
        <v>37</v>
      </c>
      <c r="B41" s="8" t="s">
        <v>166</v>
      </c>
      <c r="C41" s="8" t="s">
        <v>167</v>
      </c>
      <c r="D41" s="8" t="s">
        <v>52</v>
      </c>
      <c r="E41" s="8" t="s">
        <v>65</v>
      </c>
      <c r="F41" s="8" t="s">
        <v>168</v>
      </c>
      <c r="G41" s="8" t="s">
        <v>169</v>
      </c>
      <c r="H41" s="8" t="s">
        <v>56</v>
      </c>
      <c r="I41" s="8"/>
    </row>
    <row r="42" customFormat="false" ht="15" hidden="false" customHeight="true" outlineLevel="0" collapsed="false">
      <c r="A42" s="8" t="n">
        <f aca="false">ROW()-4</f>
        <v>38</v>
      </c>
      <c r="B42" s="8" t="s">
        <v>170</v>
      </c>
      <c r="C42" s="8" t="s">
        <v>171</v>
      </c>
      <c r="D42" s="8" t="s">
        <v>52</v>
      </c>
      <c r="E42" s="8" t="s">
        <v>69</v>
      </c>
      <c r="F42" s="8" t="s">
        <v>66</v>
      </c>
      <c r="G42" s="8" t="s">
        <v>172</v>
      </c>
      <c r="H42" s="8" t="s">
        <v>56</v>
      </c>
      <c r="I42" s="8"/>
    </row>
    <row r="43" customFormat="false" ht="15" hidden="false" customHeight="true" outlineLevel="0" collapsed="false">
      <c r="A43" s="8" t="n">
        <f aca="false">ROW()-4</f>
        <v>39</v>
      </c>
      <c r="B43" s="8" t="s">
        <v>173</v>
      </c>
      <c r="C43" s="8" t="s">
        <v>174</v>
      </c>
      <c r="D43" s="8" t="s">
        <v>52</v>
      </c>
      <c r="E43" s="8" t="s">
        <v>65</v>
      </c>
      <c r="F43" s="8" t="s">
        <v>60</v>
      </c>
      <c r="G43" s="8" t="s">
        <v>175</v>
      </c>
      <c r="H43" s="8" t="s">
        <v>56</v>
      </c>
      <c r="I43" s="8"/>
    </row>
    <row r="44" customFormat="false" ht="15" hidden="false" customHeight="true" outlineLevel="0" collapsed="false">
      <c r="A44" s="8" t="n">
        <f aca="false">ROW()-4</f>
        <v>40</v>
      </c>
      <c r="B44" s="8" t="s">
        <v>176</v>
      </c>
      <c r="C44" s="8" t="s">
        <v>177</v>
      </c>
      <c r="D44" s="8" t="s">
        <v>52</v>
      </c>
      <c r="E44" s="8" t="s">
        <v>69</v>
      </c>
      <c r="F44" s="8" t="s">
        <v>74</v>
      </c>
      <c r="G44" s="8" t="s">
        <v>178</v>
      </c>
      <c r="H44" s="8" t="s">
        <v>56</v>
      </c>
      <c r="I44" s="8"/>
    </row>
    <row r="45" customFormat="false" ht="15" hidden="false" customHeight="true" outlineLevel="0" collapsed="false">
      <c r="A45" s="8" t="n">
        <f aca="false">ROW()-4</f>
        <v>41</v>
      </c>
      <c r="B45" s="8" t="s">
        <v>179</v>
      </c>
      <c r="C45" s="8" t="s">
        <v>180</v>
      </c>
      <c r="D45" s="8" t="s">
        <v>52</v>
      </c>
      <c r="E45" s="8" t="s">
        <v>69</v>
      </c>
      <c r="F45" s="8" t="s">
        <v>78</v>
      </c>
      <c r="G45" s="8" t="s">
        <v>181</v>
      </c>
      <c r="H45" s="8" t="s">
        <v>56</v>
      </c>
      <c r="I45" s="8"/>
    </row>
    <row r="46" customFormat="false" ht="15" hidden="false" customHeight="true" outlineLevel="0" collapsed="false">
      <c r="A46" s="8" t="n">
        <f aca="false">ROW()-4</f>
        <v>42</v>
      </c>
      <c r="B46" s="8" t="s">
        <v>182</v>
      </c>
      <c r="C46" s="8" t="s">
        <v>183</v>
      </c>
      <c r="D46" s="8" t="s">
        <v>52</v>
      </c>
      <c r="E46" s="8" t="s">
        <v>69</v>
      </c>
      <c r="F46" s="8" t="s">
        <v>184</v>
      </c>
      <c r="G46" s="8" t="s">
        <v>181</v>
      </c>
      <c r="H46" s="8" t="s">
        <v>56</v>
      </c>
      <c r="I46" s="8"/>
    </row>
    <row r="47" customFormat="false" ht="15" hidden="false" customHeight="true" outlineLevel="0" collapsed="false">
      <c r="A47" s="8" t="n">
        <f aca="false">ROW()-4</f>
        <v>43</v>
      </c>
      <c r="B47" s="8" t="s">
        <v>185</v>
      </c>
      <c r="C47" s="8" t="s">
        <v>186</v>
      </c>
      <c r="D47" s="8" t="s">
        <v>52</v>
      </c>
      <c r="E47" s="8" t="s">
        <v>69</v>
      </c>
      <c r="F47" s="8" t="s">
        <v>60</v>
      </c>
      <c r="G47" s="8" t="s">
        <v>181</v>
      </c>
      <c r="H47" s="8" t="s">
        <v>56</v>
      </c>
      <c r="I47" s="8"/>
    </row>
    <row r="48" customFormat="false" ht="15" hidden="false" customHeight="true" outlineLevel="0" collapsed="false">
      <c r="A48" s="8" t="n">
        <f aca="false">ROW()-4</f>
        <v>44</v>
      </c>
      <c r="B48" s="8" t="s">
        <v>187</v>
      </c>
      <c r="C48" s="8" t="s">
        <v>188</v>
      </c>
      <c r="D48" s="8" t="s">
        <v>52</v>
      </c>
      <c r="E48" s="8" t="s">
        <v>65</v>
      </c>
      <c r="F48" s="8" t="s">
        <v>189</v>
      </c>
      <c r="G48" s="8" t="s">
        <v>181</v>
      </c>
      <c r="H48" s="8" t="s">
        <v>56</v>
      </c>
      <c r="I48" s="8"/>
    </row>
    <row r="49" customFormat="false" ht="15" hidden="false" customHeight="true" outlineLevel="0" collapsed="false">
      <c r="A49" s="8" t="n">
        <f aca="false">ROW()-4</f>
        <v>45</v>
      </c>
      <c r="B49" s="8" t="s">
        <v>190</v>
      </c>
      <c r="C49" s="8" t="s">
        <v>191</v>
      </c>
      <c r="D49" s="8" t="s">
        <v>52</v>
      </c>
      <c r="E49" s="8" t="s">
        <v>65</v>
      </c>
      <c r="F49" s="8" t="s">
        <v>192</v>
      </c>
      <c r="G49" s="8" t="s">
        <v>181</v>
      </c>
      <c r="H49" s="8" t="s">
        <v>56</v>
      </c>
      <c r="I49" s="8"/>
    </row>
    <row r="50" customFormat="false" ht="15" hidden="false" customHeight="true" outlineLevel="0" collapsed="false">
      <c r="A50" s="8" t="n">
        <f aca="false">ROW()-4</f>
        <v>46</v>
      </c>
      <c r="B50" s="8" t="s">
        <v>193</v>
      </c>
      <c r="C50" s="8" t="s">
        <v>194</v>
      </c>
      <c r="D50" s="8" t="s">
        <v>52</v>
      </c>
      <c r="E50" s="8" t="s">
        <v>65</v>
      </c>
      <c r="F50" s="8" t="s">
        <v>88</v>
      </c>
      <c r="G50" s="8" t="s">
        <v>181</v>
      </c>
      <c r="H50" s="8" t="s">
        <v>56</v>
      </c>
      <c r="I50" s="8"/>
    </row>
    <row r="51" customFormat="false" ht="15" hidden="false" customHeight="true" outlineLevel="0" collapsed="false">
      <c r="A51" s="8" t="n">
        <f aca="false">ROW()-4</f>
        <v>47</v>
      </c>
      <c r="B51" s="8" t="s">
        <v>147</v>
      </c>
      <c r="C51" s="8" t="s">
        <v>195</v>
      </c>
      <c r="D51" s="8" t="s">
        <v>52</v>
      </c>
      <c r="E51" s="8" t="s">
        <v>65</v>
      </c>
      <c r="F51" s="8" t="s">
        <v>60</v>
      </c>
      <c r="G51" s="8" t="s">
        <v>181</v>
      </c>
      <c r="H51" s="8" t="s">
        <v>56</v>
      </c>
      <c r="I51" s="8"/>
    </row>
    <row r="52" customFormat="false" ht="15" hidden="false" customHeight="true" outlineLevel="0" collapsed="false">
      <c r="A52" s="8" t="n">
        <f aca="false">ROW()-4</f>
        <v>48</v>
      </c>
      <c r="B52" s="8" t="s">
        <v>196</v>
      </c>
      <c r="C52" s="8" t="s">
        <v>197</v>
      </c>
      <c r="D52" s="8"/>
      <c r="E52" s="8" t="s">
        <v>65</v>
      </c>
      <c r="F52" s="8" t="s">
        <v>198</v>
      </c>
      <c r="G52" s="8" t="s">
        <v>181</v>
      </c>
      <c r="H52" s="8" t="s">
        <v>56</v>
      </c>
      <c r="I52" s="8"/>
    </row>
    <row r="53" customFormat="false" ht="15" hidden="false" customHeight="true" outlineLevel="0" collapsed="false">
      <c r="A53" s="8" t="n">
        <f aca="false">ROW()-4</f>
        <v>49</v>
      </c>
      <c r="B53" s="8" t="s">
        <v>199</v>
      </c>
      <c r="C53" s="8" t="s">
        <v>200</v>
      </c>
      <c r="D53" s="8" t="s">
        <v>52</v>
      </c>
      <c r="E53" s="8" t="s">
        <v>69</v>
      </c>
      <c r="F53" s="8" t="s">
        <v>132</v>
      </c>
      <c r="G53" s="8" t="s">
        <v>181</v>
      </c>
      <c r="H53" s="8" t="s">
        <v>56</v>
      </c>
      <c r="I53" s="8"/>
    </row>
    <row r="54" customFormat="false" ht="15" hidden="false" customHeight="true" outlineLevel="0" collapsed="false">
      <c r="A54" s="8" t="n">
        <f aca="false">ROW()-4</f>
        <v>50</v>
      </c>
      <c r="B54" s="8" t="s">
        <v>201</v>
      </c>
      <c r="C54" s="8" t="s">
        <v>202</v>
      </c>
      <c r="D54" s="8" t="s">
        <v>77</v>
      </c>
      <c r="E54" s="8" t="s">
        <v>65</v>
      </c>
      <c r="F54" s="8" t="s">
        <v>203</v>
      </c>
      <c r="G54" s="8" t="s">
        <v>181</v>
      </c>
      <c r="H54" s="8" t="s">
        <v>56</v>
      </c>
      <c r="I54" s="8"/>
    </row>
    <row r="55" customFormat="false" ht="15" hidden="false" customHeight="true" outlineLevel="0" collapsed="false">
      <c r="A55" s="8" t="n">
        <f aca="false">ROW()-4</f>
        <v>51</v>
      </c>
      <c r="B55" s="8"/>
      <c r="C55" s="8"/>
      <c r="D55" s="8"/>
      <c r="E55" s="8"/>
      <c r="F55" s="8"/>
      <c r="G55" s="8"/>
      <c r="H55" s="8"/>
      <c r="I55" s="8"/>
    </row>
    <row r="56" customFormat="false" ht="15" hidden="false" customHeight="true" outlineLevel="0" collapsed="false">
      <c r="A56" s="8" t="n">
        <f aca="false">ROW()-4</f>
        <v>52</v>
      </c>
      <c r="B56" s="8"/>
      <c r="C56" s="8"/>
      <c r="D56" s="8"/>
      <c r="E56" s="8"/>
      <c r="F56" s="8"/>
      <c r="G56" s="8"/>
      <c r="H56" s="8"/>
      <c r="I56" s="8"/>
    </row>
    <row r="57" customFormat="false" ht="15" hidden="false" customHeight="true" outlineLevel="0" collapsed="false">
      <c r="A57" s="8" t="n">
        <f aca="false">ROW()-4</f>
        <v>53</v>
      </c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true" outlineLevel="0" collapsed="false">
      <c r="A58" s="8" t="n">
        <f aca="false">ROW()-4</f>
        <v>54</v>
      </c>
      <c r="B58" s="8"/>
      <c r="C58" s="8"/>
      <c r="D58" s="8"/>
      <c r="E58" s="8"/>
      <c r="F58" s="8"/>
      <c r="G58" s="8"/>
      <c r="H58" s="8"/>
      <c r="I58" s="8"/>
    </row>
    <row r="59" customFormat="false" ht="15" hidden="false" customHeight="true" outlineLevel="0" collapsed="false">
      <c r="A59" s="8" t="n">
        <f aca="false">ROW()-4</f>
        <v>55</v>
      </c>
      <c r="B59" s="8"/>
      <c r="C59" s="8"/>
      <c r="D59" s="8"/>
      <c r="E59" s="8"/>
      <c r="F59" s="8"/>
      <c r="G59" s="8"/>
      <c r="H59" s="8"/>
      <c r="I59" s="8"/>
    </row>
    <row r="60" customFormat="false" ht="15" hidden="false" customHeight="true" outlineLevel="0" collapsed="false">
      <c r="A60" s="8" t="n">
        <f aca="false">ROW()-4</f>
        <v>56</v>
      </c>
      <c r="B60" s="8"/>
      <c r="C60" s="8"/>
      <c r="D60" s="8"/>
      <c r="E60" s="8"/>
      <c r="F60" s="8"/>
      <c r="G60" s="8"/>
      <c r="H60" s="8"/>
      <c r="I60" s="8"/>
    </row>
    <row r="61" customFormat="false" ht="15" hidden="false" customHeight="true" outlineLevel="0" collapsed="false">
      <c r="A61" s="8" t="n">
        <f aca="false">ROW()-4</f>
        <v>57</v>
      </c>
      <c r="B61" s="8"/>
      <c r="C61" s="8"/>
      <c r="D61" s="8"/>
      <c r="E61" s="8"/>
      <c r="F61" s="8"/>
      <c r="G61" s="8"/>
      <c r="H61" s="8"/>
      <c r="I61" s="8"/>
    </row>
    <row r="62" customFormat="false" ht="15" hidden="false" customHeight="true" outlineLevel="0" collapsed="false">
      <c r="A62" s="8" t="n">
        <f aca="false">ROW()-4</f>
        <v>58</v>
      </c>
      <c r="B62" s="8"/>
      <c r="C62" s="8"/>
      <c r="D62" s="8"/>
      <c r="E62" s="8"/>
      <c r="F62" s="8"/>
      <c r="G62" s="8"/>
      <c r="H62" s="8"/>
      <c r="I62" s="8"/>
    </row>
    <row r="63" customFormat="false" ht="15" hidden="false" customHeight="true" outlineLevel="0" collapsed="false">
      <c r="A63" s="8" t="n">
        <f aca="false">ROW()-4</f>
        <v>59</v>
      </c>
      <c r="B63" s="8"/>
      <c r="C63" s="8"/>
      <c r="D63" s="8"/>
      <c r="E63" s="8"/>
      <c r="F63" s="8"/>
      <c r="G63" s="8"/>
      <c r="H63" s="8"/>
      <c r="I63" s="8"/>
    </row>
    <row r="64" customFormat="false" ht="15" hidden="false" customHeight="true" outlineLevel="0" collapsed="false">
      <c r="A64" s="8" t="n">
        <f aca="false">ROW()-4</f>
        <v>60</v>
      </c>
      <c r="B64" s="8"/>
      <c r="C64" s="8"/>
      <c r="D64" s="8"/>
      <c r="E64" s="8"/>
      <c r="F64" s="8"/>
      <c r="G64" s="8"/>
      <c r="H64" s="8"/>
      <c r="I64" s="8"/>
    </row>
    <row r="65" customFormat="false" ht="15" hidden="false" customHeight="true" outlineLevel="0" collapsed="false">
      <c r="A65" s="8" t="n">
        <f aca="false">ROW()-4</f>
        <v>61</v>
      </c>
      <c r="B65" s="8"/>
      <c r="C65" s="8"/>
      <c r="D65" s="8"/>
      <c r="E65" s="8"/>
      <c r="F65" s="8"/>
      <c r="G65" s="8"/>
      <c r="H65" s="8"/>
      <c r="I65" s="8"/>
    </row>
    <row r="66" customFormat="false" ht="15" hidden="false" customHeight="true" outlineLevel="0" collapsed="false">
      <c r="A66" s="8" t="n">
        <f aca="false">ROW()-4</f>
        <v>62</v>
      </c>
      <c r="B66" s="8"/>
      <c r="C66" s="8"/>
      <c r="D66" s="8"/>
      <c r="E66" s="8"/>
      <c r="F66" s="8"/>
      <c r="G66" s="8"/>
      <c r="H66" s="8"/>
      <c r="I66" s="8"/>
    </row>
    <row r="67" customFormat="false" ht="15" hidden="false" customHeight="true" outlineLevel="0" collapsed="false">
      <c r="A67" s="8" t="n">
        <f aca="false">ROW()-4</f>
        <v>63</v>
      </c>
      <c r="B67" s="8"/>
      <c r="C67" s="8"/>
      <c r="D67" s="8"/>
      <c r="E67" s="8"/>
      <c r="F67" s="8"/>
      <c r="G67" s="8"/>
      <c r="H67" s="8"/>
      <c r="I67" s="8"/>
    </row>
    <row r="68" customFormat="false" ht="15" hidden="false" customHeight="true" outlineLevel="0" collapsed="false">
      <c r="A68" s="8" t="n">
        <f aca="false">ROW()-4</f>
        <v>64</v>
      </c>
      <c r="B68" s="8"/>
      <c r="C68" s="8"/>
      <c r="D68" s="8"/>
      <c r="E68" s="8"/>
      <c r="F68" s="8"/>
      <c r="G68" s="8"/>
      <c r="H68" s="8"/>
      <c r="I68" s="8"/>
    </row>
    <row r="69" customFormat="false" ht="15" hidden="false" customHeight="true" outlineLevel="0" collapsed="false">
      <c r="A69" s="8" t="n">
        <f aca="false">ROW()-4</f>
        <v>65</v>
      </c>
      <c r="B69" s="8"/>
      <c r="C69" s="8"/>
      <c r="D69" s="8"/>
      <c r="E69" s="8"/>
      <c r="F69" s="8"/>
      <c r="G69" s="8"/>
      <c r="H69" s="8"/>
      <c r="I69" s="8"/>
    </row>
    <row r="70" customFormat="false" ht="15" hidden="false" customHeight="true" outlineLevel="0" collapsed="false">
      <c r="A70" s="8" t="n">
        <f aca="false">ROW()-4</f>
        <v>66</v>
      </c>
      <c r="B70" s="8"/>
      <c r="C70" s="8"/>
      <c r="D70" s="8"/>
      <c r="E70" s="8"/>
      <c r="F70" s="8"/>
      <c r="G70" s="8"/>
      <c r="H70" s="8"/>
      <c r="I70" s="8"/>
    </row>
    <row r="71" customFormat="false" ht="15" hidden="false" customHeight="true" outlineLevel="0" collapsed="false">
      <c r="A71" s="8" t="n">
        <f aca="false">ROW()-4</f>
        <v>67</v>
      </c>
      <c r="B71" s="8"/>
      <c r="C71" s="8"/>
      <c r="D71" s="8"/>
      <c r="E71" s="8"/>
      <c r="F71" s="8"/>
      <c r="G71" s="8"/>
      <c r="H71" s="8"/>
      <c r="I71" s="8"/>
    </row>
    <row r="72" customFormat="false" ht="15" hidden="false" customHeight="true" outlineLevel="0" collapsed="false">
      <c r="A72" s="8" t="n">
        <f aca="false">ROW()-4</f>
        <v>68</v>
      </c>
      <c r="B72" s="8"/>
      <c r="C72" s="8"/>
      <c r="D72" s="8"/>
      <c r="E72" s="8"/>
      <c r="F72" s="8"/>
      <c r="G72" s="8"/>
      <c r="H72" s="8"/>
      <c r="I72" s="8"/>
    </row>
    <row r="73" customFormat="false" ht="15" hidden="false" customHeight="true" outlineLevel="0" collapsed="false">
      <c r="A73" s="8" t="n">
        <f aca="false">ROW()-4</f>
        <v>69</v>
      </c>
      <c r="B73" s="8"/>
      <c r="C73" s="8"/>
      <c r="D73" s="8"/>
      <c r="E73" s="8"/>
      <c r="F73" s="8"/>
      <c r="G73" s="8"/>
      <c r="H73" s="8"/>
      <c r="I73" s="8"/>
    </row>
    <row r="74" customFormat="false" ht="15" hidden="false" customHeight="true" outlineLevel="0" collapsed="false">
      <c r="A74" s="8" t="n">
        <f aca="false">ROW()-4</f>
        <v>70</v>
      </c>
      <c r="B74" s="8"/>
      <c r="C74" s="8"/>
      <c r="D74" s="8"/>
      <c r="E74" s="8"/>
      <c r="F74" s="8"/>
      <c r="G74" s="8"/>
      <c r="H74" s="8"/>
      <c r="I74" s="8"/>
    </row>
    <row r="75" customFormat="false" ht="15" hidden="false" customHeight="true" outlineLevel="0" collapsed="false">
      <c r="A75" s="8" t="n">
        <f aca="false">ROW()-4</f>
        <v>71</v>
      </c>
      <c r="B75" s="8"/>
      <c r="C75" s="8"/>
      <c r="D75" s="8"/>
      <c r="E75" s="8"/>
      <c r="F75" s="8"/>
      <c r="G75" s="8"/>
      <c r="H75" s="8"/>
      <c r="I75" s="8"/>
    </row>
    <row r="76" customFormat="false" ht="15" hidden="false" customHeight="true" outlineLevel="0" collapsed="false">
      <c r="A76" s="8" t="n">
        <f aca="false">ROW()-4</f>
        <v>72</v>
      </c>
      <c r="B76" s="8"/>
      <c r="C76" s="8"/>
      <c r="D76" s="8"/>
      <c r="E76" s="8"/>
      <c r="F76" s="8"/>
      <c r="G76" s="8"/>
      <c r="H76" s="8"/>
      <c r="I76" s="8"/>
    </row>
    <row r="77" customFormat="false" ht="15" hidden="false" customHeight="true" outlineLevel="0" collapsed="false">
      <c r="A77" s="8" t="n">
        <f aca="false">ROW()-4</f>
        <v>73</v>
      </c>
      <c r="B77" s="8"/>
      <c r="C77" s="8"/>
      <c r="D77" s="8"/>
      <c r="E77" s="8"/>
      <c r="F77" s="8"/>
      <c r="G77" s="8"/>
      <c r="H77" s="8"/>
      <c r="I77" s="8"/>
    </row>
    <row r="78" customFormat="false" ht="15" hidden="false" customHeight="true" outlineLevel="0" collapsed="false">
      <c r="A78" s="8" t="n">
        <f aca="false">ROW()-4</f>
        <v>74</v>
      </c>
      <c r="B78" s="8"/>
      <c r="C78" s="8"/>
      <c r="D78" s="8"/>
      <c r="E78" s="8"/>
      <c r="F78" s="8"/>
      <c r="G78" s="8"/>
      <c r="H78" s="8"/>
      <c r="I78" s="8"/>
    </row>
    <row r="79" customFormat="false" ht="15" hidden="false" customHeight="true" outlineLevel="0" collapsed="false">
      <c r="A79" s="8" t="n">
        <f aca="false">ROW()-4</f>
        <v>75</v>
      </c>
      <c r="B79" s="8"/>
      <c r="C79" s="8"/>
      <c r="D79" s="8"/>
      <c r="E79" s="8"/>
      <c r="F79" s="8"/>
      <c r="G79" s="8"/>
      <c r="H79" s="8"/>
      <c r="I79" s="8"/>
    </row>
    <row r="80" customFormat="false" ht="15" hidden="false" customHeight="true" outlineLevel="0" collapsed="false">
      <c r="A80" s="8" t="n">
        <f aca="false">ROW()-4</f>
        <v>76</v>
      </c>
      <c r="B80" s="8"/>
      <c r="C80" s="8"/>
      <c r="D80" s="8"/>
      <c r="E80" s="8"/>
      <c r="F80" s="8"/>
      <c r="G80" s="8"/>
      <c r="H80" s="8"/>
      <c r="I80" s="8"/>
    </row>
    <row r="81" customFormat="false" ht="15" hidden="false" customHeight="true" outlineLevel="0" collapsed="false">
      <c r="A81" s="8" t="n">
        <f aca="false">ROW()-4</f>
        <v>77</v>
      </c>
      <c r="B81" s="8"/>
      <c r="C81" s="8"/>
      <c r="D81" s="8"/>
      <c r="E81" s="8"/>
      <c r="F81" s="8"/>
      <c r="G81" s="8"/>
      <c r="H81" s="8"/>
      <c r="I81" s="8"/>
    </row>
    <row r="82" customFormat="false" ht="15" hidden="false" customHeight="true" outlineLevel="0" collapsed="false">
      <c r="A82" s="8" t="n">
        <f aca="false">ROW()-4</f>
        <v>78</v>
      </c>
      <c r="B82" s="8"/>
      <c r="C82" s="8"/>
      <c r="D82" s="8"/>
      <c r="E82" s="8"/>
      <c r="F82" s="8"/>
      <c r="G82" s="8"/>
      <c r="H82" s="8"/>
      <c r="I82" s="8"/>
    </row>
    <row r="83" customFormat="false" ht="15" hidden="false" customHeight="true" outlineLevel="0" collapsed="false">
      <c r="A83" s="8" t="n">
        <f aca="false">ROW()-4</f>
        <v>79</v>
      </c>
      <c r="B83" s="8"/>
      <c r="C83" s="8"/>
      <c r="D83" s="8"/>
      <c r="E83" s="8"/>
      <c r="F83" s="8"/>
      <c r="G83" s="8"/>
      <c r="H83" s="8"/>
      <c r="I83" s="8"/>
    </row>
    <row r="84" customFormat="false" ht="15" hidden="false" customHeight="true" outlineLevel="0" collapsed="false">
      <c r="A84" s="8" t="n">
        <f aca="false">ROW()-4</f>
        <v>80</v>
      </c>
      <c r="B84" s="8"/>
      <c r="C84" s="8"/>
      <c r="D84" s="8"/>
      <c r="E84" s="8"/>
      <c r="F84" s="8"/>
      <c r="G84" s="8"/>
      <c r="H84" s="8"/>
      <c r="I84" s="8"/>
    </row>
    <row r="85" customFormat="false" ht="15" hidden="false" customHeight="true" outlineLevel="0" collapsed="false">
      <c r="A85" s="8" t="n">
        <f aca="false">ROW()-4</f>
        <v>81</v>
      </c>
      <c r="B85" s="8"/>
      <c r="C85" s="8"/>
      <c r="D85" s="8"/>
      <c r="E85" s="8"/>
      <c r="F85" s="8"/>
      <c r="G85" s="8"/>
      <c r="H85" s="8"/>
      <c r="I85" s="8"/>
    </row>
    <row r="86" customFormat="false" ht="15" hidden="false" customHeight="true" outlineLevel="0" collapsed="false">
      <c r="A86" s="8" t="n">
        <f aca="false">ROW()-4</f>
        <v>82</v>
      </c>
      <c r="B86" s="8"/>
      <c r="C86" s="8"/>
      <c r="D86" s="8"/>
      <c r="E86" s="8"/>
      <c r="F86" s="8"/>
      <c r="G86" s="8"/>
      <c r="H86" s="8"/>
      <c r="I86" s="8"/>
    </row>
    <row r="87" customFormat="false" ht="15" hidden="false" customHeight="true" outlineLevel="0" collapsed="false">
      <c r="A87" s="8" t="n">
        <f aca="false">ROW()-4</f>
        <v>83</v>
      </c>
      <c r="B87" s="8"/>
      <c r="C87" s="8"/>
      <c r="D87" s="8"/>
      <c r="E87" s="8"/>
      <c r="F87" s="8"/>
      <c r="G87" s="8"/>
      <c r="H87" s="8"/>
      <c r="I87" s="8"/>
    </row>
    <row r="88" customFormat="false" ht="15" hidden="false" customHeight="true" outlineLevel="0" collapsed="false">
      <c r="A88" s="8" t="n">
        <f aca="false">ROW()-4</f>
        <v>84</v>
      </c>
      <c r="B88" s="8"/>
      <c r="C88" s="8"/>
      <c r="D88" s="8"/>
      <c r="E88" s="8"/>
      <c r="F88" s="8"/>
      <c r="G88" s="8"/>
      <c r="H88" s="8"/>
      <c r="I88" s="8"/>
    </row>
    <row r="89" customFormat="false" ht="15" hidden="false" customHeight="true" outlineLevel="0" collapsed="false">
      <c r="A89" s="8" t="n">
        <f aca="false">ROW()-4</f>
        <v>85</v>
      </c>
      <c r="B89" s="8"/>
      <c r="C89" s="8"/>
      <c r="D89" s="8"/>
      <c r="E89" s="8"/>
      <c r="F89" s="8"/>
      <c r="G89" s="8"/>
      <c r="H89" s="8"/>
      <c r="I89" s="8"/>
    </row>
    <row r="90" customFormat="false" ht="15" hidden="false" customHeight="true" outlineLevel="0" collapsed="false">
      <c r="A90" s="8" t="n">
        <f aca="false">ROW()-4</f>
        <v>86</v>
      </c>
      <c r="B90" s="8"/>
      <c r="C90" s="8"/>
      <c r="D90" s="8"/>
      <c r="E90" s="8"/>
      <c r="F90" s="8"/>
      <c r="G90" s="8"/>
      <c r="H90" s="8"/>
      <c r="I90" s="8"/>
    </row>
    <row r="91" customFormat="false" ht="15" hidden="false" customHeight="true" outlineLevel="0" collapsed="false">
      <c r="A91" s="8" t="n">
        <f aca="false">ROW()-4</f>
        <v>87</v>
      </c>
      <c r="B91" s="8"/>
      <c r="C91" s="8"/>
      <c r="D91" s="8"/>
      <c r="E91" s="8"/>
      <c r="F91" s="8"/>
      <c r="G91" s="8"/>
      <c r="H91" s="8"/>
      <c r="I91" s="8"/>
    </row>
    <row r="92" customFormat="false" ht="15" hidden="false" customHeight="true" outlineLevel="0" collapsed="false">
      <c r="A92" s="8" t="n">
        <f aca="false">ROW()-4</f>
        <v>88</v>
      </c>
      <c r="B92" s="8"/>
      <c r="C92" s="8"/>
      <c r="D92" s="8"/>
      <c r="E92" s="8"/>
      <c r="F92" s="8"/>
      <c r="G92" s="8"/>
      <c r="H92" s="8"/>
      <c r="I92" s="8"/>
    </row>
    <row r="93" customFormat="false" ht="15" hidden="false" customHeight="true" outlineLevel="0" collapsed="false">
      <c r="A93" s="8" t="n">
        <f aca="false">ROW()-4</f>
        <v>89</v>
      </c>
      <c r="B93" s="8"/>
      <c r="C93" s="8"/>
      <c r="D93" s="8"/>
      <c r="E93" s="8"/>
      <c r="F93" s="8"/>
      <c r="G93" s="8"/>
      <c r="H93" s="8"/>
      <c r="I93" s="8"/>
    </row>
    <row r="94" customFormat="false" ht="15" hidden="false" customHeight="true" outlineLevel="0" collapsed="false">
      <c r="A94" s="8" t="n">
        <f aca="false">ROW()-4</f>
        <v>90</v>
      </c>
      <c r="B94" s="8"/>
      <c r="C94" s="8"/>
      <c r="D94" s="8"/>
      <c r="E94" s="8"/>
      <c r="F94" s="8"/>
      <c r="G94" s="8"/>
      <c r="H94" s="8"/>
      <c r="I94" s="8"/>
    </row>
    <row r="95" customFormat="false" ht="15" hidden="false" customHeight="true" outlineLevel="0" collapsed="false">
      <c r="A95" s="8" t="n">
        <f aca="false">ROW()-4</f>
        <v>91</v>
      </c>
      <c r="B95" s="8"/>
      <c r="C95" s="8"/>
      <c r="D95" s="8"/>
      <c r="E95" s="8"/>
      <c r="F95" s="8"/>
      <c r="G95" s="8"/>
      <c r="H95" s="8"/>
      <c r="I95" s="8"/>
    </row>
    <row r="96" customFormat="false" ht="15" hidden="false" customHeight="true" outlineLevel="0" collapsed="false">
      <c r="A96" s="8" t="n">
        <f aca="false">ROW()-4</f>
        <v>92</v>
      </c>
      <c r="B96" s="8"/>
      <c r="C96" s="8"/>
      <c r="D96" s="8"/>
      <c r="E96" s="8"/>
      <c r="F96" s="8"/>
      <c r="G96" s="8"/>
      <c r="H96" s="8"/>
      <c r="I96" s="8"/>
    </row>
    <row r="97" customFormat="false" ht="15" hidden="false" customHeight="true" outlineLevel="0" collapsed="false">
      <c r="A97" s="8" t="n">
        <f aca="false">ROW()-4</f>
        <v>93</v>
      </c>
      <c r="B97" s="8"/>
      <c r="C97" s="8"/>
      <c r="D97" s="8"/>
      <c r="E97" s="8"/>
      <c r="F97" s="8"/>
      <c r="G97" s="8"/>
      <c r="H97" s="8"/>
      <c r="I97" s="8"/>
    </row>
    <row r="98" customFormat="false" ht="15" hidden="false" customHeight="true" outlineLevel="0" collapsed="false">
      <c r="A98" s="8" t="n">
        <f aca="false">ROW()-4</f>
        <v>94</v>
      </c>
      <c r="B98" s="8"/>
      <c r="C98" s="8"/>
      <c r="D98" s="8"/>
      <c r="E98" s="8"/>
      <c r="F98" s="8"/>
      <c r="G98" s="8"/>
      <c r="H98" s="8"/>
      <c r="I98" s="8"/>
    </row>
    <row r="99" customFormat="false" ht="15" hidden="false" customHeight="true" outlineLevel="0" collapsed="false">
      <c r="A99" s="8" t="n">
        <f aca="false">ROW()-4</f>
        <v>95</v>
      </c>
      <c r="B99" s="8"/>
      <c r="C99" s="8"/>
      <c r="D99" s="8"/>
      <c r="E99" s="8"/>
      <c r="F99" s="8"/>
      <c r="G99" s="8"/>
      <c r="H99" s="8"/>
      <c r="I99" s="8"/>
    </row>
    <row r="100" customFormat="false" ht="15" hidden="false" customHeight="true" outlineLevel="0" collapsed="false">
      <c r="A100" s="8" t="n">
        <f aca="false">ROW()-4</f>
        <v>96</v>
      </c>
      <c r="B100" s="8"/>
      <c r="C100" s="8"/>
      <c r="D100" s="8"/>
      <c r="E100" s="8"/>
      <c r="F100" s="8"/>
      <c r="G100" s="8"/>
      <c r="H100" s="8"/>
      <c r="I100" s="8"/>
    </row>
    <row r="101" customFormat="false" ht="15" hidden="false" customHeight="true" outlineLevel="0" collapsed="false">
      <c r="A101" s="8" t="n">
        <f aca="false">ROW()-4</f>
        <v>97</v>
      </c>
      <c r="B101" s="8"/>
      <c r="C101" s="8"/>
      <c r="D101" s="8"/>
      <c r="E101" s="8"/>
      <c r="F101" s="8"/>
      <c r="G101" s="8"/>
      <c r="H101" s="8"/>
      <c r="I101" s="8"/>
    </row>
    <row r="102" customFormat="false" ht="15" hidden="false" customHeight="true" outlineLevel="0" collapsed="false">
      <c r="A102" s="8" t="n">
        <f aca="false">ROW()-4</f>
        <v>98</v>
      </c>
      <c r="B102" s="8"/>
      <c r="C102" s="8"/>
      <c r="D102" s="8"/>
      <c r="E102" s="8"/>
      <c r="F102" s="8"/>
      <c r="G102" s="8"/>
      <c r="H102" s="8"/>
      <c r="I102" s="8"/>
    </row>
    <row r="103" customFormat="false" ht="15" hidden="false" customHeight="true" outlineLevel="0" collapsed="false">
      <c r="A103" s="8" t="n">
        <f aca="false">ROW()-4</f>
        <v>99</v>
      </c>
      <c r="B103" s="8"/>
      <c r="C103" s="8"/>
      <c r="D103" s="8"/>
      <c r="E103" s="8"/>
      <c r="F103" s="8"/>
      <c r="G103" s="8"/>
      <c r="H103" s="8"/>
      <c r="I103" s="8"/>
    </row>
    <row r="104" customFormat="false" ht="15" hidden="false" customHeight="true" outlineLevel="0" collapsed="false">
      <c r="A104" s="8" t="n">
        <f aca="false">ROW()-4</f>
        <v>100</v>
      </c>
      <c r="B104" s="8"/>
      <c r="C104" s="8"/>
      <c r="D104" s="8"/>
      <c r="E104" s="8"/>
      <c r="F104" s="8"/>
      <c r="G104" s="8"/>
      <c r="H104" s="8"/>
      <c r="I104" s="8"/>
    </row>
  </sheetData>
  <mergeCells count="2">
    <mergeCell ref="A1:I1"/>
    <mergeCell ref="A2:I2"/>
  </mergeCells>
  <conditionalFormatting sqref="H5:H104">
    <cfRule type="cellIs" priority="2" operator="equal" aboveAverage="0" equalAverage="0" bottom="0" percent="0" rank="0" text="" dxfId="0">
      <formula>"Enviado"</formula>
    </cfRule>
    <cfRule type="cellIs" priority="3" operator="equal" aboveAverage="0" equalAverage="0" bottom="0" percent="0" rank="0" text="" dxfId="1">
      <formula>"Pendiente"</formula>
    </cfRule>
    <cfRule type="cellIs" priority="4" operator="equal" aboveAverage="0" equalAverage="0" bottom="0" percent="0" rank="0" text="" dxfId="2">
      <formula>"Inscribió Nivel 1"</formula>
    </cfRule>
    <cfRule type="cellIs" priority="5" operator="equal" aboveAverage="0" equalAverage="0" bottom="0" percent="0" rank="0" text="" dxfId="3">
      <formula>"Rebotó"</formula>
    </cfRule>
  </conditionalFormatting>
  <dataValidations count="1">
    <dataValidation allowBlank="true" errorStyle="stop" operator="between" showDropDown="false" showErrorMessage="false" showInputMessage="false" sqref="H5:H104" type="list">
      <formula1>"Pendiente,Enviado,Rebotó,Respondió,Inscribió Nivel 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</cols>
  <sheetData>
    <row r="1" customFormat="false" ht="30" hidden="false" customHeight="true" outlineLevel="0" collapsed="false">
      <c r="A1" s="2" t="s">
        <v>204</v>
      </c>
      <c r="B1" s="2"/>
      <c r="C1" s="2"/>
      <c r="D1" s="2"/>
    </row>
    <row r="3" customFormat="false" ht="15" hidden="false" customHeight="true" outlineLevel="0" collapsed="false">
      <c r="A3" s="3" t="s">
        <v>205</v>
      </c>
      <c r="B3" s="3" t="s">
        <v>206</v>
      </c>
    </row>
    <row r="4" customFormat="false" ht="15" hidden="false" customHeight="true" outlineLevel="0" collapsed="false">
      <c r="A4" s="9" t="s">
        <v>207</v>
      </c>
      <c r="B4" s="10" t="n">
        <f aca="false">COUNTA('Inscritos Taller 6Jun'!C5:C104)</f>
        <v>50</v>
      </c>
    </row>
    <row r="5" customFormat="false" ht="15" hidden="false" customHeight="true" outlineLevel="0" collapsed="false">
      <c r="A5" s="9" t="s">
        <v>208</v>
      </c>
      <c r="B5" s="10" t="n">
        <f aca="false">COUNTIF('Inscritos Taller 6Jun'!H5:H104,"Enviado")</f>
        <v>0</v>
      </c>
    </row>
    <row r="6" customFormat="false" ht="15" hidden="false" customHeight="true" outlineLevel="0" collapsed="false">
      <c r="A6" s="9" t="s">
        <v>209</v>
      </c>
      <c r="B6" s="10" t="n">
        <f aca="false">COUNTIF('Inscritos Taller 6Jun'!H5:H104,"Pendiente")</f>
        <v>50</v>
      </c>
    </row>
    <row r="7" customFormat="false" ht="15" hidden="false" customHeight="true" outlineLevel="0" collapsed="false">
      <c r="A7" s="9" t="s">
        <v>210</v>
      </c>
      <c r="B7" s="10" t="n">
        <f aca="false">COUNTIF('Inscritos Taller 6Jun'!H5:H104,"Rebotó")</f>
        <v>0</v>
      </c>
    </row>
    <row r="8" customFormat="false" ht="15" hidden="false" customHeight="true" outlineLevel="0" collapsed="false">
      <c r="A8" s="9" t="s">
        <v>211</v>
      </c>
      <c r="B8" s="10" t="n">
        <f aca="false">COUNTIF('Inscritos Taller 6Jun'!H5:H104,"Respondió")</f>
        <v>0</v>
      </c>
    </row>
    <row r="9" customFormat="false" ht="15" hidden="false" customHeight="true" outlineLevel="0" collapsed="false">
      <c r="A9" s="9" t="s">
        <v>212</v>
      </c>
      <c r="B9" s="10" t="n">
        <f aca="false">COUNTIF('Inscritos Taller 6Jun'!H5:H104,"Inscribió Nivel 1")</f>
        <v>0</v>
      </c>
    </row>
    <row r="10" customFormat="false" ht="15" hidden="false" customHeight="true" outlineLevel="0" collapsed="false">
      <c r="A10" s="9" t="s">
        <v>213</v>
      </c>
      <c r="B10" s="11" t="n">
        <f aca="false">IFERROR(B7/B2,0)</f>
        <v>0</v>
      </c>
    </row>
    <row r="11" customFormat="false" ht="15" hidden="false" customHeight="true" outlineLevel="0" collapsed="false">
      <c r="A11" s="9" t="s">
        <v>214</v>
      </c>
      <c r="B11" s="12" t="n">
        <f aca="false">B7*89</f>
        <v>0</v>
      </c>
    </row>
    <row r="13" customFormat="false" ht="15" hidden="false" customHeight="true" outlineLevel="0" collapsed="false">
      <c r="A13" s="13" t="s">
        <v>215</v>
      </c>
    </row>
    <row r="14" customFormat="false" ht="15" hidden="false" customHeight="true" outlineLevel="0" collapsed="false">
      <c r="A14" s="3" t="s">
        <v>44</v>
      </c>
      <c r="B14" s="3" t="s">
        <v>216</v>
      </c>
    </row>
    <row r="15" customFormat="false" ht="15" hidden="false" customHeight="true" outlineLevel="0" collapsed="false">
      <c r="A15" s="14" t="s">
        <v>64</v>
      </c>
      <c r="B15" s="15" t="n">
        <f aca="false">COUNTIF('Inscritos Taller 6Jun'!D5:D104,"Chile")</f>
        <v>12</v>
      </c>
    </row>
    <row r="16" customFormat="false" ht="15" hidden="false" customHeight="true" outlineLevel="0" collapsed="false">
      <c r="A16" s="14" t="s">
        <v>73</v>
      </c>
      <c r="B16" s="15" t="n">
        <f aca="false">COUNTIF('Inscritos Taller 6Jun'!D5:D104,"México")</f>
        <v>4</v>
      </c>
    </row>
    <row r="17" customFormat="false" ht="15" hidden="false" customHeight="true" outlineLevel="0" collapsed="false">
      <c r="A17" s="14" t="s">
        <v>217</v>
      </c>
      <c r="B17" s="15" t="n">
        <f aca="false">COUNTIF('Inscritos Taller 6Jun'!D5:D104,"Colombia")</f>
        <v>0</v>
      </c>
    </row>
    <row r="18" customFormat="false" ht="15" hidden="false" customHeight="true" outlineLevel="0" collapsed="false">
      <c r="A18" s="14" t="s">
        <v>99</v>
      </c>
      <c r="B18" s="15" t="n">
        <f aca="false">COUNTIF('Inscritos Taller 6Jun'!D5:D104,"Perú")</f>
        <v>3</v>
      </c>
    </row>
    <row r="19" customFormat="false" ht="15" hidden="false" customHeight="true" outlineLevel="0" collapsed="false">
      <c r="A19" s="14" t="s">
        <v>77</v>
      </c>
      <c r="B19" s="15" t="n">
        <f aca="false">COUNTIF('Inscritos Taller 6Jun'!D5:D104,"Argentina")</f>
        <v>5</v>
      </c>
    </row>
    <row r="20" customFormat="false" ht="15" hidden="false" customHeight="true" outlineLevel="0" collapsed="false">
      <c r="A20" s="14" t="s">
        <v>218</v>
      </c>
      <c r="B20" s="15" t="n">
        <f aca="false">COUNTIF('Inscritos Taller 6Jun'!D5:D104,"España")</f>
        <v>0</v>
      </c>
    </row>
    <row r="21" customFormat="false" ht="15" hidden="false" customHeight="true" outlineLevel="0" collapsed="false">
      <c r="A21" s="14" t="s">
        <v>52</v>
      </c>
      <c r="B21" s="15" t="n">
        <f aca="false">COUNTIF('Inscritos Taller 6Jun'!D5:D104,"Venezuela")</f>
        <v>17</v>
      </c>
    </row>
    <row r="22" customFormat="false" ht="15" hidden="false" customHeight="true" outlineLevel="0" collapsed="false">
      <c r="A22" s="14" t="s">
        <v>131</v>
      </c>
      <c r="B22" s="15" t="n">
        <f aca="false">COUNTIF('Inscritos Taller 6Jun'!D5:D104,"Ecuador")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30" hidden="false" customHeight="true" outlineLevel="0" collapsed="false">
      <c r="A1" s="2" t="s">
        <v>219</v>
      </c>
      <c r="B1" s="2"/>
    </row>
    <row r="2" customFormat="false" ht="30" hidden="false" customHeight="true" outlineLevel="0" collapsed="false">
      <c r="A2" s="16" t="s">
        <v>220</v>
      </c>
      <c r="B2" s="16"/>
    </row>
    <row r="3" customFormat="false" ht="15" hidden="false" customHeight="true" outlineLevel="0" collapsed="false">
      <c r="A3" s="17" t="s">
        <v>221</v>
      </c>
    </row>
    <row r="4" customFormat="false" ht="199.5" hidden="false" customHeight="true" outlineLevel="0" collapsed="false">
      <c r="A4" s="18" t="str">
        <f aca="false">_xlfn.TEXTJOIN(", ",TRUE(),'Inscritos Taller 6Jun'!C5:C104)</f>
        <v>mariaelisa1967@gmail.com, paulinas.boutique75@gmail.com, constanzapaulette.castro@gmail.com, jessica.alcayagao@gmail.com, gpb7124@live.com.mx, veronik3340@gmail.com, sonychas72@gmail.com, elisard2514@gmail.com, gabrielafiumarelli@gmail.com, 444fegugoga@gmail.com, lyorgelis726@gmail.com, sanchezmakoke@gmail.com, ariana01013@gmail.com, florenciaoliva80@gmail.com, jesma21@gmail.com, rommy.an1@gmail.com, cesarin.bebe5@gmail.com, rosmarly.17679864@gmail.com, pinoleolidia61@gmail.com, yaricequintero@gmail.com, adrianacrys@gmail.com, mazzielcastellano91@gmail.com, dorital12@hotmail.com, consueloaguilar321@gmail.com, andrea.rojas.abarzua@hotmail.com, amarayar@gmail.com, lucia.hangug@gmail.com, sandrea.rodriguezc.sr@gmail.com, rosiperez2007@gmail.com, ingrid.rodriguez.labra@gmail.com, nomyguilleng@hotmail.com, yennycolina67@gmail.com, yexikarmona@hotmail.com, elsitajesus2000@gmail.com, luzlinarojasch@gmail.com, rodrigo.galvez@seasmin.com, alee7slzr@gmail.com, gabrielafmonasterio@gmail.com, yethsyruiz@gmail.com, mariananatalirodriguezmendez@gmail.com, diazmilagros@yahoo.es, daisyalanna.20@gmail.com, merycataleya438@gmail.com, fabriellysh89@gmail.com, hillaryparissojolanda@gmail.com, danieka35@gmail.com, perezruizrosibel@gmail.com, raizaramirez1234@gmail.com, lajsysyelis@gmail.com, sukdaiana@hotmail.com</v>
      </c>
    </row>
    <row r="6" customFormat="false" ht="15" hidden="false" customHeight="true" outlineLevel="0" collapsed="false">
      <c r="A6" s="19" t="s">
        <v>222</v>
      </c>
    </row>
    <row r="7" customFormat="false" ht="15" hidden="false" customHeight="true" outlineLevel="0" collapsed="false">
      <c r="A7" s="20" t="s">
        <v>223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2026-05-30T10:12:48Z</dcterms:created>
  <dc:creator>openpyxl</dc:creator>
  <dc:description/>
  <dc:language>en-US</dc:language>
  <cp:lastModifiedBy/>
  <dcterms:modified xsi:type="dcterms:W3CDTF">2026-05-30T10:21:17Z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