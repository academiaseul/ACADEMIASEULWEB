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s" sheetId="1" state="visible" r:id="rId3"/>
    <sheet name="Resume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<sst xmlns="http://schemas.openxmlformats.org/spreadsheetml/2006/main" count="64" uniqueCount="52">
  <si>
    <t xml:space="preserve">Nombre</t>
  </si>
  <si>
    <t xml:space="preserve">Usuario (@)</t>
  </si>
  <si>
    <t xml:space="preserve">Canal</t>
  </si>
  <si>
    <t xml:space="preserve">Fecha 1er contacto</t>
  </si>
  <si>
    <t xml:space="preserve">De dónde llegó</t>
  </si>
  <si>
    <t xml:space="preserve">Qué preguntó / interés</t>
  </si>
  <si>
    <t xml:space="preserve">Estado</t>
  </si>
  <si>
    <t xml:space="preserve">Horario</t>
  </si>
  <si>
    <t xml:space="preserve">País</t>
  </si>
  <si>
    <t xml:space="preserve">Último toque</t>
  </si>
  <si>
    <t xml:space="preserve">Próximo paso</t>
  </si>
  <si>
    <t xml:space="preserve">Pagó</t>
  </si>
  <si>
    <t xml:space="preserve">Monto (CLP)</t>
  </si>
  <si>
    <t xml:space="preserve">Notas</t>
  </si>
  <si>
    <t xml:space="preserve">Ágata</t>
  </si>
  <si>
    <t xml:space="preserve">@agataams</t>
  </si>
  <si>
    <t xml:space="preserve">Comentario IG</t>
  </si>
  <si>
    <t xml:space="preserve">30-06</t>
  </si>
  <si>
    <t xml:space="preserve">Anuncio Sejong</t>
  </si>
  <si>
    <t xml:space="preserve">Pidió info del curso</t>
  </si>
  <si>
    <t xml:space="preserve">Contactado</t>
  </si>
  <si>
    <t xml:space="preserve">Sin decidir</t>
  </si>
  <si>
    <t xml:space="preserve">Enviar oferta + pedir venta</t>
  </si>
  <si>
    <t xml:space="preserve">No</t>
  </si>
  <si>
    <t xml:space="preserve">Comentó 'quisiera info'</t>
  </si>
  <si>
    <t xml:space="preserve">G. Montino</t>
  </si>
  <si>
    <t xml:space="preserve">@gmontino</t>
  </si>
  <si>
    <t xml:space="preserve">Escribió HANGUL</t>
  </si>
  <si>
    <t xml:space="preserve">Interesado</t>
  </si>
  <si>
    <t xml:space="preserve">Mandar link de pago</t>
  </si>
  <si>
    <t xml:space="preserve">Sabri Santander</t>
  </si>
  <si>
    <t xml:space="preserve">@sabrisantander</t>
  </si>
  <si>
    <t xml:space="preserve">Enganchó con el video</t>
  </si>
  <si>
    <t xml:space="preserve">Nuevo</t>
  </si>
  <si>
    <t xml:space="preserve">Escribir mensaje [1]</t>
  </si>
  <si>
    <t xml:space="preserve">Posible testimonio</t>
  </si>
  <si>
    <t xml:space="preserve">EMBUDO DE VENTA · NIVEL 1</t>
  </si>
  <si>
    <t xml:space="preserve">Total de leads</t>
  </si>
  <si>
    <t xml:space="preserve">Contactados (mensaje enviado)</t>
  </si>
  <si>
    <t xml:space="preserve">Interesados</t>
  </si>
  <si>
    <t xml:space="preserve">Reservaron</t>
  </si>
  <si>
    <t xml:space="preserve">PAGARON (ventas)</t>
  </si>
  <si>
    <t xml:space="preserve">No por ahora</t>
  </si>
  <si>
    <t xml:space="preserve">Tasa de cierre</t>
  </si>
  <si>
    <t xml:space="preserve">Ingresos (CLP)</t>
  </si>
  <si>
    <t xml:space="preserve">Ventas clase Miércoles</t>
  </si>
  <si>
    <t xml:space="preserve">Ventas clase Sábado</t>
  </si>
  <si>
    <t xml:space="preserve">Cómo usar</t>
  </si>
  <si>
    <t xml:space="preserve">1. Cada persona que te comente o escriba = una fila en 'Leads'.</t>
  </si>
  <si>
    <t xml:space="preserve">2. Actualiza la columna ESTADO según avanza (menú desplegable).</t>
  </si>
  <si>
    <t xml:space="preserve">3. Cuando paguen, marca 'Pagó'=Sí y pon el Monto (85000).</t>
  </si>
  <si>
    <t xml:space="preserve">4. Mira aquí tu tasa de cierre real → con eso decides si escalar ads.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</si>
</sst>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\$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6"/>
      <color rgb="FF4036ED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2"/>
      <color rgb="FF4036ED"/>
      <name val="Cambria"/>
      <family val="0"/>
      <charset val="1"/>
    </font>
    <font>
      <sz val="1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036ED"/>
        <bgColor rgb="FF3366FF"/>
      </patternFill>
    </fill>
    <fill>
      <patternFill patternType="solid">
        <fgColor rgb="FFFE6768"/>
        <bgColor rgb="FFFF6600"/>
      </patternFill>
    </fill>
    <fill>
      <patternFill patternType="solid">
        <fgColor rgb="FFA79BFF"/>
        <bgColor rgb="FFCC99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4036ED"/>
      </bottom>
      <diagonal/>
    </border>
    <border diagonalUp="false" diagonalDown="false">
      <left/>
      <right/>
      <top/>
      <bottom style="thin">
        <color rgb="FFDDDD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A79BFF"/>
      <rgbColor rgb="FF993366"/>
      <rgbColor rgb="FFFFFFCC"/>
      <rgbColor rgb="FFCCFFFF"/>
      <rgbColor rgb="FF660066"/>
      <rgbColor rgb="FFFE6768"/>
      <rgbColor rgb="FF0066CC"/>
      <rgbColor rgb="FFDDDD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4036E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15"/>
    <col collapsed="false" customWidth="true" hidden="false" outlineLevel="0" max="5" min="4" style="0" width="16"/>
    <col collapsed="false" customWidth="true" hidden="false" outlineLevel="0" max="6" min="6" style="0" width="26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26"/>
    <col collapsed="false" customWidth="true" hidden="false" outlineLevel="0" max="12" min="12" style="0" width="8"/>
    <col collapsed="false" customWidth="true" hidden="false" outlineLevel="0" max="13" min="13" style="0" width="12"/>
    <col collapsed="false" customWidth="true" hidden="false" outlineLevel="0" max="14" min="14" style="0" width="28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/>
      <c r="J2" s="2" t="s">
        <v>17</v>
      </c>
      <c r="K2" s="2" t="s">
        <v>22</v>
      </c>
      <c r="L2" s="2" t="s">
        <v>23</v>
      </c>
      <c r="M2" s="2"/>
      <c r="N2" s="2" t="s">
        <v>24</v>
      </c>
    </row>
    <row r="3" customFormat="false" ht="15" hidden="false" customHeight="false" outlineLevel="0" collapsed="false">
      <c r="A3" s="2" t="s">
        <v>25</v>
      </c>
      <c r="B3" s="2" t="s">
        <v>26</v>
      </c>
      <c r="C3" s="2" t="s">
        <v>16</v>
      </c>
      <c r="D3" s="2" t="s">
        <v>17</v>
      </c>
      <c r="E3" s="2" t="s">
        <v>18</v>
      </c>
      <c r="F3" s="2" t="s">
        <v>27</v>
      </c>
      <c r="G3" s="2" t="s">
        <v>28</v>
      </c>
      <c r="H3" s="2" t="s">
        <v>21</v>
      </c>
      <c r="I3" s="2"/>
      <c r="J3" s="2" t="s">
        <v>17</v>
      </c>
      <c r="K3" s="2" t="s">
        <v>29</v>
      </c>
      <c r="L3" s="2" t="s">
        <v>23</v>
      </c>
      <c r="M3" s="2"/>
      <c r="N3" s="2"/>
    </row>
    <row r="4" customFormat="false" ht="15" hidden="false" customHeight="false" outlineLevel="0" collapsed="false">
      <c r="A4" s="2" t="s">
        <v>30</v>
      </c>
      <c r="B4" s="2" t="s">
        <v>31</v>
      </c>
      <c r="C4" s="2" t="s">
        <v>16</v>
      </c>
      <c r="D4" s="2" t="s">
        <v>17</v>
      </c>
      <c r="E4" s="2" t="s">
        <v>18</v>
      </c>
      <c r="F4" s="2" t="s">
        <v>32</v>
      </c>
      <c r="G4" s="2" t="s">
        <v>33</v>
      </c>
      <c r="H4" s="2" t="s">
        <v>21</v>
      </c>
      <c r="I4" s="2"/>
      <c r="J4" s="2"/>
      <c r="K4" s="2" t="s">
        <v>34</v>
      </c>
      <c r="L4" s="2" t="s">
        <v>23</v>
      </c>
      <c r="M4" s="2"/>
      <c r="N4" s="2" t="s">
        <v>35</v>
      </c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customFormat="false" ht="1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customFormat="false" ht="1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customFormat="false" ht="1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customFormat="false" ht="1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customFormat="false" ht="1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customFormat="false" ht="1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customFormat="false" ht="1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customFormat="false" ht="1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customFormat="false" ht="1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customFormat="false" ht="1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customFormat="false" ht="1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customFormat="false" ht="1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customFormat="false" ht="1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customFormat="false" ht="1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customFormat="false" ht="1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customFormat="false" ht="1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customFormat="false" ht="1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customFormat="false" ht="1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customFormat="false" ht="1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customFormat="false" ht="1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customFormat="false" ht="1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 customFormat="false" ht="1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customFormat="false" ht="1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customFormat="false" ht="1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customFormat="false" ht="1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customFormat="false" ht="1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customFormat="false" ht="1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customFormat="false" ht="1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customFormat="false" ht="1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customFormat="false" ht="1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customFormat="false" ht="1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customFormat="false" ht="1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customFormat="false" ht="1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customFormat="false" ht="1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 customFormat="false" ht="1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customFormat="false" ht="1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customFormat="false" ht="1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customFormat="false" ht="1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customFormat="false" ht="1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 customFormat="false" ht="1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customFormat="false" ht="1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customFormat="false" ht="1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customFormat="false" ht="1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 customFormat="false" ht="1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customFormat="false" ht="1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customFormat="false" ht="1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 customFormat="false" ht="1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customFormat="false" ht="1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customFormat="false" ht="1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customFormat="false" ht="1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customFormat="false" ht="1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customFormat="false" ht="1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customFormat="false" ht="1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customFormat="false" ht="1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customFormat="false" ht="1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customFormat="false" ht="1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customFormat="false" ht="1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customFormat="false" ht="1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customFormat="false" ht="1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customFormat="false" ht="1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customFormat="false" ht="1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customFormat="false" ht="1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customFormat="false" ht="1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customFormat="false" ht="1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customFormat="false" ht="1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customFormat="false" ht="1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customFormat="false" ht="1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 customFormat="false" ht="1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customFormat="false" ht="1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customFormat="false" ht="1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customFormat="false" ht="1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customFormat="false" ht="1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customFormat="false" ht="1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customFormat="false" ht="1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customFormat="false" ht="1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customFormat="false" ht="1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customFormat="false" ht="1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customFormat="false" ht="1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customFormat="false" ht="1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customFormat="false" ht="1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customFormat="false" ht="1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customFormat="false" ht="1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customFormat="false" ht="1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customFormat="false" ht="1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customFormat="false" ht="1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customFormat="false" ht="1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customFormat="false" ht="1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customFormat="false" ht="1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customFormat="false" ht="1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customFormat="false" ht="1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customFormat="false" ht="1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customFormat="false" ht="1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customFormat="false" ht="1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customFormat="false" ht="1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customFormat="false" ht="1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customFormat="false" ht="1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customFormat="false" ht="1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customFormat="false" ht="1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customFormat="false" ht="1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customFormat="false" ht="1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customFormat="false" ht="1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customFormat="false" ht="1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customFormat="false" ht="1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customFormat="false" ht="1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customFormat="false" ht="1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customFormat="false" ht="1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customFormat="false" ht="1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customFormat="false" ht="1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customFormat="false" ht="1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customFormat="false" ht="1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customFormat="false" ht="1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customFormat="false" ht="1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customFormat="false" ht="1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customFormat="false" ht="1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customFormat="false" ht="1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customFormat="false" ht="1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customFormat="false" ht="1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customFormat="false" ht="1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customFormat="false" ht="1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customFormat="false" ht="1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customFormat="false" ht="1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customFormat="false" ht="1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customFormat="false" ht="1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customFormat="false" ht="1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customFormat="false" ht="1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customFormat="false" ht="1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customFormat="false" ht="1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customFormat="false" ht="1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customFormat="false" ht="1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customFormat="false" ht="1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customFormat="false" ht="1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customFormat="false" ht="1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customFormat="false" ht="1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customFormat="false" ht="1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customFormat="false" ht="1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customFormat="false" ht="1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customFormat="false" ht="1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customFormat="false" ht="1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customFormat="false" ht="1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customFormat="false" ht="1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customFormat="false" ht="1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customFormat="false" ht="1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customFormat="false" ht="1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 customFormat="false" ht="1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customFormat="false" ht="1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customFormat="false" ht="1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customFormat="false" ht="1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customFormat="false" ht="1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customFormat="false" ht="1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customFormat="false" ht="1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customFormat="false" ht="1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customFormat="false" ht="1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customFormat="false" ht="1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customFormat="false" ht="1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customFormat="false" ht="1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customFormat="false" ht="1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customFormat="false" ht="1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customFormat="false" ht="1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customFormat="false" ht="1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customFormat="false" ht="1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customFormat="false" ht="1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customFormat="false" ht="1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customFormat="false" ht="1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customFormat="false" ht="1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customFormat="false" ht="1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customFormat="false" ht="1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customFormat="false" ht="1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customFormat="false" ht="1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customFormat="false" ht="1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customFormat="false" ht="1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customFormat="false" ht="1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customFormat="false" ht="1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customFormat="false" ht="1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customFormat="false" ht="1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customFormat="false" ht="1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customFormat="false" ht="1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customFormat="false" ht="1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customFormat="false" ht="1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customFormat="false" ht="1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customFormat="false" ht="1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customFormat="false" ht="1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customFormat="false" ht="1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customFormat="false" ht="1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customFormat="false" ht="1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customFormat="false" ht="1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customFormat="false" ht="1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customFormat="false" ht="1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customFormat="false" ht="1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customFormat="false" ht="1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customFormat="false" ht="1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customFormat="false" ht="1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customFormat="false" ht="1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customFormat="false" ht="1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customFormat="false" ht="1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customFormat="false" ht="1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customFormat="false" ht="1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customFormat="false" ht="1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customFormat="false" ht="1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customFormat="false" ht="1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customFormat="false" ht="1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customFormat="false" ht="1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customFormat="false" ht="1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customFormat="false" ht="1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customFormat="false" ht="1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customFormat="false" ht="1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customFormat="false" ht="1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customFormat="false" ht="1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customFormat="false" ht="1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customFormat="false" ht="1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customFormat="false" ht="1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customFormat="false" ht="1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customFormat="false" ht="1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customFormat="false" ht="1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customFormat="false" ht="1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customFormat="false" ht="1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customFormat="false" ht="1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customFormat="false" ht="1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customFormat="false" ht="1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customFormat="false" ht="1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customFormat="false" ht="1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customFormat="false" ht="1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customFormat="false" ht="1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customFormat="false" ht="1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customFormat="false" ht="1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customFormat="false" ht="1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customFormat="false" ht="1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customFormat="false" ht="1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customFormat="false" ht="1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customFormat="false" ht="1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customFormat="false" ht="1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customFormat="false" ht="1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customFormat="false" ht="1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customFormat="false" ht="1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customFormat="false" ht="1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customFormat="false" ht="1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customFormat="false" ht="1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customFormat="false" ht="1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customFormat="false" ht="1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customFormat="false" ht="1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customFormat="false" ht="1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customFormat="false" ht="1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customFormat="false" ht="1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customFormat="false" ht="1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customFormat="false" ht="1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customFormat="false" ht="1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customFormat="false" ht="1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customFormat="false" ht="1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customFormat="false" ht="1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customFormat="false" ht="1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customFormat="false" ht="1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customFormat="false" ht="1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customFormat="false" ht="1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customFormat="false" ht="1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customFormat="false" ht="1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customFormat="false" ht="1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customFormat="false" ht="1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customFormat="false" ht="1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customFormat="false" ht="1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customFormat="false" ht="1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customFormat="false" ht="1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customFormat="false" ht="1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customFormat="false" ht="1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customFormat="false" ht="1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customFormat="false" ht="1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customFormat="false" ht="1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customFormat="false" ht="1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customFormat="false" ht="1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customFormat="false" ht="1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customFormat="false" ht="1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customFormat="false" ht="1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customFormat="false" ht="1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customFormat="false" ht="1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customFormat="false" ht="1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customFormat="false" ht="1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customFormat="false" ht="1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customFormat="false" ht="1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customFormat="false" ht="1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customFormat="false" ht="1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customFormat="false" ht="1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customFormat="false" ht="1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customFormat="false" ht="1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customFormat="false" ht="1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customFormat="false" ht="1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customFormat="false" ht="1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customFormat="false" ht="1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customFormat="false" ht="1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customFormat="false" ht="1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customFormat="false" ht="1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customFormat="false" ht="1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customFormat="false" ht="1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customFormat="false" ht="1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customFormat="false" ht="1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customFormat="false" ht="1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customFormat="false" ht="1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customFormat="false" ht="1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customFormat="false" ht="1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customFormat="false" ht="1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customFormat="false" ht="1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customFormat="false" ht="1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customFormat="false" ht="1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</sheetData>
  <dataValidations count="5">
    <dataValidation allowBlank="true" errorStyle="stop" operator="between" showDropDown="false" showErrorMessage="false" showInputMessage="false" sqref="C2:C500" type="list">
      <formula1>"IG DM,Messenger,Comentario IG,Comentario FB"</formula1>
      <formula2>0</formula2>
    </dataValidation>
    <dataValidation allowBlank="true" errorStyle="stop" operator="between" showDropDown="false" showErrorMessage="false" showInputMessage="false" sqref="E2:E500" type="list">
      <formula1>"Anuncio Sejong,Taller YouTube,Orgánico,Otro"</formula1>
      <formula2>0</formula2>
    </dataValidation>
    <dataValidation allowBlank="true" errorStyle="stop" operator="between" showDropDown="false" showErrorMessage="false" showInputMessage="false" sqref="G2:G500" type="list">
      <formula1>"Nuevo,Contactado,Interesado,Reservó,Pagó,No por ahora"</formula1>
      <formula2>0</formula2>
    </dataValidation>
    <dataValidation allowBlank="true" errorStyle="stop" operator="between" showDropDown="false" showErrorMessage="false" showInputMessage="false" sqref="H2:H500" type="list">
      <formula1>"Miércoles,Sábado,Sin decidir"</formula1>
      <formula2>0</formula2>
    </dataValidation>
    <dataValidation allowBlank="true" errorStyle="stop" operator="between" showDropDown="false" showErrorMessage="false" showInputMessage="false" sqref="L2:L500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</cols>
  <sheetData>
    <row r="1" customFormat="false" ht="19.7" hidden="false" customHeight="false" outlineLevel="0" collapsed="false">
      <c r="A1" s="3" t="s">
        <v>36</v>
      </c>
    </row>
    <row r="3" customFormat="false" ht="15" hidden="false" customHeight="false" outlineLevel="0" collapsed="false">
      <c r="A3" s="4" t="s">
        <v>37</v>
      </c>
      <c r="B3" s="4" t="n">
        <f aca="false">COUNTA(Leads!A2:A500)</f>
        <v>3</v>
      </c>
    </row>
    <row r="4" customFormat="false" ht="15" hidden="false" customHeight="false" outlineLevel="0" collapsed="false">
      <c r="A4" s="5" t="s">
        <v>38</v>
      </c>
      <c r="B4" s="4" t="n">
        <f aca="false">COUNTA(Leads!A2:A500)-COUNTIF(Leads!G2:G500,"Nuevo")</f>
        <v>2</v>
      </c>
    </row>
    <row r="5" customFormat="false" ht="15" hidden="false" customHeight="false" outlineLevel="0" collapsed="false">
      <c r="A5" s="5" t="s">
        <v>39</v>
      </c>
      <c r="B5" s="4" t="n">
        <f aca="false">COUNTIF(Leads!G2:G500,"Interesado")</f>
        <v>1</v>
      </c>
    </row>
    <row r="6" customFormat="false" ht="15" hidden="false" customHeight="false" outlineLevel="0" collapsed="false">
      <c r="A6" s="5" t="s">
        <v>40</v>
      </c>
      <c r="B6" s="4" t="n">
        <f aca="false">COUNTIF(Leads!G2:G500,"Reservó")</f>
        <v>0</v>
      </c>
    </row>
    <row r="7" customFormat="false" ht="15" hidden="false" customHeight="false" outlineLevel="0" collapsed="false">
      <c r="A7" s="4" t="s">
        <v>41</v>
      </c>
      <c r="B7" s="6" t="n">
        <f aca="false">COUNTIF(Leads!G2:G500,"Pagó")</f>
        <v>0</v>
      </c>
    </row>
    <row r="8" customFormat="false" ht="15" hidden="false" customHeight="false" outlineLevel="0" collapsed="false">
      <c r="A8" s="5" t="s">
        <v>42</v>
      </c>
      <c r="B8" s="4" t="n">
        <f aca="false">COUNTIF(Leads!G2:G500,"No por ahora")</f>
        <v>0</v>
      </c>
    </row>
    <row r="9" customFormat="false" ht="15" hidden="false" customHeight="false" outlineLevel="0" collapsed="false">
      <c r="A9" s="5"/>
    </row>
    <row r="10" customFormat="false" ht="15" hidden="false" customHeight="false" outlineLevel="0" collapsed="false">
      <c r="A10" s="4" t="s">
        <v>43</v>
      </c>
      <c r="B10" s="7" t="n">
        <f aca="false">IFERROR(COUNTIF(Leads!G2:G500,"Pagó")/COUNTA(Leads!A2:A500),0)</f>
        <v>0</v>
      </c>
    </row>
    <row r="11" customFormat="false" ht="15" hidden="false" customHeight="false" outlineLevel="0" collapsed="false">
      <c r="A11" s="5" t="s">
        <v>44</v>
      </c>
      <c r="B11" s="8" t="n">
        <f aca="false">SUMIF(Leads!L2:L500,"Sí",Leads!M2:M500)</f>
        <v>0</v>
      </c>
    </row>
    <row r="12" customFormat="false" ht="15" hidden="false" customHeight="false" outlineLevel="0" collapsed="false">
      <c r="A12" s="5"/>
    </row>
    <row r="13" customFormat="false" ht="15" hidden="false" customHeight="false" outlineLevel="0" collapsed="false">
      <c r="A13" s="5" t="s">
        <v>45</v>
      </c>
      <c r="B13" s="4" t="n">
        <f aca="false">COUNTIFS(Leads!G2:G500,"Pagó",Leads!H2:H500,"Miércoles")</f>
        <v>0</v>
      </c>
    </row>
    <row r="14" customFormat="false" ht="15" hidden="false" customHeight="false" outlineLevel="0" collapsed="false">
      <c r="A14" s="5" t="s">
        <v>46</v>
      </c>
      <c r="B14" s="4" t="n">
        <f aca="false">COUNTIFS(Leads!G2:G500,"Pagó",Leads!H2:H500,"Sábado")</f>
        <v>0</v>
      </c>
    </row>
    <row r="16" customFormat="false" ht="15" hidden="false" customHeight="false" outlineLevel="0" collapsed="false">
      <c r="A16" s="9" t="s">
        <v>47</v>
      </c>
    </row>
    <row r="17" customFormat="false" ht="15" hidden="false" customHeight="false" outlineLevel="0" collapsed="false">
      <c r="A17" s="10" t="s">
        <v>48</v>
      </c>
    </row>
    <row r="18" customFormat="false" ht="15" hidden="false" customHeight="false" outlineLevel="0" collapsed="false">
      <c r="A18" s="10" t="s">
        <v>49</v>
      </c>
    </row>
    <row r="19" customFormat="false" ht="15" hidden="false" customHeight="false" outlineLevel="0" collapsed="false">
      <c r="A19" s="10" t="s">
        <v>50</v>
      </c>
    </row>
    <row r="20" customFormat="false" ht="15" hidden="false" customHeight="false" outlineLevel="0" collapsed="false">
      <c r="A20" s="10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2026-06-30T23:59:17Z</dcterms:created>
  <dc:creator>openpyxl</dc:creator>
  <dc:description/>
  <dc:language>en-US</dc:language>
  <cp:lastModifiedBy/>
  <dcterms:modified xsi:type="dcterms:W3CDTF">2026-06-30T23:59:17Z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